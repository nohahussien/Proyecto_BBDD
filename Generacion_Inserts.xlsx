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_estudiante" sheetId="1" r:id="rId4"/>
    <sheet state="visible" name="claustro" sheetId="2" r:id="rId5"/>
    <sheet state="visible" name="tb_docente" sheetId="3" r:id="rId6"/>
  </sheets>
  <definedNames>
    <definedName hidden="1" localSheetId="0" name="_xlnm._FilterDatabase">tb_estudiante!$B$2:$I$1001</definedName>
  </definedNames>
  <calcPr/>
</workbook>
</file>

<file path=xl/sharedStrings.xml><?xml version="1.0" encoding="utf-8"?>
<sst xmlns="http://schemas.openxmlformats.org/spreadsheetml/2006/main" count="674" uniqueCount="151">
  <si>
    <t>idProyecto</t>
  </si>
  <si>
    <t>IdVertical</t>
  </si>
  <si>
    <t>Vertical</t>
  </si>
  <si>
    <t>Id</t>
  </si>
  <si>
    <t>Nombre</t>
  </si>
  <si>
    <t>Email</t>
  </si>
  <si>
    <t>Promoción</t>
  </si>
  <si>
    <t>Fecha_comienzo</t>
  </si>
  <si>
    <t>idcampus</t>
  </si>
  <si>
    <t>Campus</t>
  </si>
  <si>
    <t>Proyecto_HLF</t>
  </si>
  <si>
    <t>Proyecto_EDA</t>
  </si>
  <si>
    <t>Proyecto_BBDD</t>
  </si>
  <si>
    <t>Proyecto_ML</t>
  </si>
  <si>
    <t>Proyecto_Deployment</t>
  </si>
  <si>
    <t>Proyecto_WebDev</t>
  </si>
  <si>
    <t>Proyecto_FrontEnd</t>
  </si>
  <si>
    <t>Proyecto_Backend</t>
  </si>
  <si>
    <t>Proyecto_React</t>
  </si>
  <si>
    <t>Proyecto_FullSatck</t>
  </si>
  <si>
    <t>INSERT INTO public.estudiante (nombre, email) VALUES</t>
  </si>
  <si>
    <t>DS</t>
  </si>
  <si>
    <t>Jafet Casals</t>
  </si>
  <si>
    <t>Jafet_Casals@gmail.com</t>
  </si>
  <si>
    <t>Septiembre</t>
  </si>
  <si>
    <t>Madrid</t>
  </si>
  <si>
    <t>Apto</t>
  </si>
  <si>
    <t>No Apto</t>
  </si>
  <si>
    <t>Jorge Manzanares</t>
  </si>
  <si>
    <t>Jorge_Manzanares@gmail.com</t>
  </si>
  <si>
    <t>Onofre Adadia</t>
  </si>
  <si>
    <t>Onofre_Adadia@gmail.com</t>
  </si>
  <si>
    <t>Merche Prada</t>
  </si>
  <si>
    <t>Merche_Prada@gmail.com</t>
  </si>
  <si>
    <t>Pilar Abella</t>
  </si>
  <si>
    <t>Pilar_Abella@gmail.com</t>
  </si>
  <si>
    <t>Leoncio Tena</t>
  </si>
  <si>
    <t>Leoncio_Tena@gmail.com</t>
  </si>
  <si>
    <t>Odalys Torrijos</t>
  </si>
  <si>
    <t>Odalys_Torrijos@gmail.com</t>
  </si>
  <si>
    <t>Eduardo Caparrós</t>
  </si>
  <si>
    <t>Eduardo_Caparrós@gmail.com</t>
  </si>
  <si>
    <t>Ignacio Goicoechea</t>
  </si>
  <si>
    <t>Ignacio_Goicoechea@gmail.com</t>
  </si>
  <si>
    <t>Clementina Santos</t>
  </si>
  <si>
    <t>Clementina_Santos@gmail.com</t>
  </si>
  <si>
    <t>Daniela Falcó</t>
  </si>
  <si>
    <t>Daniela_Falcó@gmail.com</t>
  </si>
  <si>
    <t>Abraham Vélez</t>
  </si>
  <si>
    <t>Abraham_Vélez@gmail.com</t>
  </si>
  <si>
    <t>Maximiliano Menéndez</t>
  </si>
  <si>
    <t>Maximiliano_Menéndez@gmail.com</t>
  </si>
  <si>
    <t>Anita Heredia</t>
  </si>
  <si>
    <t>Anita_Heredia@gmail.com</t>
  </si>
  <si>
    <t>Eli Casas</t>
  </si>
  <si>
    <t>Eli_Casas@gmail.com</t>
  </si>
  <si>
    <t>Guillermo Borrego</t>
  </si>
  <si>
    <t>Guillermo_Borrego@gmail.com</t>
  </si>
  <si>
    <t>Febrero</t>
  </si>
  <si>
    <t>Sergio Aguirre</t>
  </si>
  <si>
    <t>Sergio_Aguirre@gmail.com</t>
  </si>
  <si>
    <t>Carlito Carrión</t>
  </si>
  <si>
    <t>Carlito_Carrión@gmail.com</t>
  </si>
  <si>
    <t>Haydée Figueroa</t>
  </si>
  <si>
    <t>Haydée_Figueroa@gmail.com</t>
  </si>
  <si>
    <t>Chita Mancebo</t>
  </si>
  <si>
    <t>Chita_Mancebo@gmail.com</t>
  </si>
  <si>
    <t>Joaquina Asensio</t>
  </si>
  <si>
    <t>Joaquina_Asensio@gmail.com</t>
  </si>
  <si>
    <t>Cristian Sarabia</t>
  </si>
  <si>
    <t>Cristian_Sarabia@gmail.com</t>
  </si>
  <si>
    <t>Isabel Ibáñez</t>
  </si>
  <si>
    <t>Isabel_Ibáñez@gmail.com</t>
  </si>
  <si>
    <t>Desiderio Jordá</t>
  </si>
  <si>
    <t>Desiderio_Jordá@gmail.com</t>
  </si>
  <si>
    <t>Rosalina Llanos</t>
  </si>
  <si>
    <t>Rosalina_Llanos@gmail.com</t>
  </si>
  <si>
    <t>FS</t>
  </si>
  <si>
    <t>Amor Larrañaga</t>
  </si>
  <si>
    <t>Amor_Larrañaga@gmail.com</t>
  </si>
  <si>
    <t>Teodoro Alberola</t>
  </si>
  <si>
    <t>Teodoro_Alberola@gmail.com</t>
  </si>
  <si>
    <t>Cleto Plana</t>
  </si>
  <si>
    <t>Cleto_Plana@gmail.com</t>
  </si>
  <si>
    <t>Aitana Sebastián</t>
  </si>
  <si>
    <t>Aitana_Sebastián@gmail.com</t>
  </si>
  <si>
    <t>Dolores Valbuena</t>
  </si>
  <si>
    <t>Dolores_Valbuena@gmail.com</t>
  </si>
  <si>
    <t>Julie Ferrer</t>
  </si>
  <si>
    <t>Julie_Ferrer@gmail.com</t>
  </si>
  <si>
    <t>Mireia Cabañas</t>
  </si>
  <si>
    <t>Mireia_Cabañas@gmail.com</t>
  </si>
  <si>
    <t>Flavia Amador</t>
  </si>
  <si>
    <t>Flavia_Amador@gmail.com</t>
  </si>
  <si>
    <t>Albino Macias</t>
  </si>
  <si>
    <t>Albino_Macias@gmail.com</t>
  </si>
  <si>
    <t>Ester Sánchez</t>
  </si>
  <si>
    <t>Ester_Sánchez@gmail.com</t>
  </si>
  <si>
    <t>Luis Miguel Galvez</t>
  </si>
  <si>
    <t>Luis_Miguel_Galvez@gmail.com</t>
  </si>
  <si>
    <t>Loida Arellano</t>
  </si>
  <si>
    <t>Loida_Arellano@gmail.com</t>
  </si>
  <si>
    <t>Heraclio Duque</t>
  </si>
  <si>
    <t>Heraclio_Duque@gmail.com</t>
  </si>
  <si>
    <t>Herberto Figueras</t>
  </si>
  <si>
    <t>Herberto_Figueras@gmail.com</t>
  </si>
  <si>
    <t>Teresa Laguna</t>
  </si>
  <si>
    <t>Teresa_Laguna@gmail.com</t>
  </si>
  <si>
    <t>Valencia</t>
  </si>
  <si>
    <t>Estrella Murillo</t>
  </si>
  <si>
    <t>Estrella_Murillo@gmail.com</t>
  </si>
  <si>
    <t>Ernesto Uriarte</t>
  </si>
  <si>
    <t>Ernesto_Uriarte@gmail.com</t>
  </si>
  <si>
    <t>Daniela Guitart</t>
  </si>
  <si>
    <t>Daniela_Guitart@gmail.com</t>
  </si>
  <si>
    <t>Timoteo Trillo</t>
  </si>
  <si>
    <t>Timoteo_Trillo@gmail.com</t>
  </si>
  <si>
    <t>Ricarda Tovar</t>
  </si>
  <si>
    <t>Ricarda_Tovar@gmail.com</t>
  </si>
  <si>
    <t>Alejandra Vilaplana</t>
  </si>
  <si>
    <t>Alejandra_Vilaplana@gmail.com</t>
  </si>
  <si>
    <t>Daniel Rosselló</t>
  </si>
  <si>
    <t>Daniel_Rosselló@gmail.com</t>
  </si>
  <si>
    <t>Rita Olivares</t>
  </si>
  <si>
    <t>Rita_Olivares@gmail.com</t>
  </si>
  <si>
    <t>Cleto Montes</t>
  </si>
  <si>
    <t>Cleto_Montes@gmail.com</t>
  </si>
  <si>
    <t>Marino Castilla</t>
  </si>
  <si>
    <t>Marino_Castilla@gmail.com</t>
  </si>
  <si>
    <t>Estefanía Valcárcel</t>
  </si>
  <si>
    <t>Estefanía_Valcárcel@gmail.com</t>
  </si>
  <si>
    <t>Noemí Vilanova</t>
  </si>
  <si>
    <t>Noemí_Vilanova@gmail.com</t>
  </si>
  <si>
    <t>Rol</t>
  </si>
  <si>
    <t>Promocion</t>
  </si>
  <si>
    <t>Modalidad</t>
  </si>
  <si>
    <t>Noa Yáñez</t>
  </si>
  <si>
    <t>TA</t>
  </si>
  <si>
    <t>Presencial</t>
  </si>
  <si>
    <t>Saturnina Benitez</t>
  </si>
  <si>
    <t>Anna Feliu</t>
  </si>
  <si>
    <t>Rosalva Ayuso</t>
  </si>
  <si>
    <t>Ana Sofía Ferrer</t>
  </si>
  <si>
    <t>Angélica Corral</t>
  </si>
  <si>
    <t>Ariel Lledó</t>
  </si>
  <si>
    <t>Mario Prats</t>
  </si>
  <si>
    <t>LI</t>
  </si>
  <si>
    <t>Online</t>
  </si>
  <si>
    <t>Luis Ángel Suárez</t>
  </si>
  <si>
    <t>María Dolores Diaz</t>
  </si>
  <si>
    <t>INSERT INTO public.docente (nombre, rol)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</si>
</sst>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10.0"/>
    <col hidden="1" min="12" max="12" width="12.63"/>
    <col hidden="1" min="14" max="14" width="12.63"/>
    <col hidden="1" min="16" max="16" width="12.63"/>
    <col hidden="1" min="18" max="18" width="12.63"/>
    <col customWidth="1" min="31" max="31" width="53.5"/>
  </cols>
  <sheetData>
    <row r="1">
      <c r="A1" s="1"/>
      <c r="B1" s="1"/>
      <c r="C1" s="1"/>
      <c r="D1" s="1"/>
      <c r="E1" s="1"/>
      <c r="F1" s="1"/>
      <c r="G1" s="1"/>
      <c r="H1" s="1"/>
      <c r="I1" s="1" t="s">
        <v>0</v>
      </c>
      <c r="J1" s="1">
        <v>1.0</v>
      </c>
      <c r="K1" s="1"/>
      <c r="L1" s="1">
        <v>2.0</v>
      </c>
      <c r="M1" s="1"/>
      <c r="N1" s="1">
        <v>3.0</v>
      </c>
      <c r="O1" s="1"/>
      <c r="P1" s="1">
        <v>4.0</v>
      </c>
      <c r="Q1" s="1"/>
      <c r="R1" s="1">
        <v>5.0</v>
      </c>
      <c r="S1" s="1"/>
      <c r="T1" s="1">
        <v>6.0</v>
      </c>
      <c r="U1" s="1"/>
      <c r="V1" s="1">
        <v>7.0</v>
      </c>
      <c r="W1" s="1"/>
      <c r="X1" s="1">
        <v>8.0</v>
      </c>
      <c r="Y1" s="1"/>
      <c r="Z1" s="1">
        <v>9.0</v>
      </c>
      <c r="AA1" s="1"/>
      <c r="AB1" s="1">
        <v>10.0</v>
      </c>
      <c r="AE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/>
      <c r="L2" s="1" t="s">
        <v>11</v>
      </c>
      <c r="M2" s="1"/>
      <c r="N2" s="1" t="s">
        <v>12</v>
      </c>
      <c r="O2" s="1"/>
      <c r="P2" s="1" t="s">
        <v>13</v>
      </c>
      <c r="Q2" s="1"/>
      <c r="R2" s="1" t="s">
        <v>14</v>
      </c>
      <c r="S2" s="1"/>
      <c r="T2" s="1" t="s">
        <v>15</v>
      </c>
      <c r="U2" s="1"/>
      <c r="V2" s="1" t="s">
        <v>16</v>
      </c>
      <c r="W2" s="1"/>
      <c r="X2" s="1" t="s">
        <v>17</v>
      </c>
      <c r="Y2" s="1"/>
      <c r="Z2" s="1" t="s">
        <v>18</v>
      </c>
      <c r="AA2" s="1"/>
      <c r="AB2" s="1" t="s">
        <v>19</v>
      </c>
      <c r="AE2" s="1" t="s">
        <v>20</v>
      </c>
    </row>
    <row r="3">
      <c r="A3" s="1">
        <v>1.0</v>
      </c>
      <c r="B3" s="1" t="s">
        <v>21</v>
      </c>
      <c r="C3" s="1">
        <v>1.0</v>
      </c>
      <c r="D3" s="1" t="s">
        <v>22</v>
      </c>
      <c r="E3" s="1" t="s">
        <v>23</v>
      </c>
      <c r="F3" s="1" t="s">
        <v>24</v>
      </c>
      <c r="G3" s="2">
        <v>45187.0</v>
      </c>
      <c r="H3" s="1">
        <v>1.0</v>
      </c>
      <c r="I3" s="1" t="s">
        <v>25</v>
      </c>
      <c r="J3" s="1" t="s">
        <v>26</v>
      </c>
      <c r="K3" s="1" t="str">
        <f t="shared" ref="K3:K27" si="1">CONCATENATE("(",C3,",",$J$1,",'",IF(J3="Apto", "A", "N" ),"')")</f>
        <v>(1,1,'A')</v>
      </c>
      <c r="L3" s="1" t="s">
        <v>27</v>
      </c>
      <c r="M3" s="1" t="str">
        <f t="shared" ref="M3:M27" si="2">CONCATENATE("(",C3,",",$L$1,",'",IF(L3="Apto", "A", "N" ),"')")</f>
        <v>(1,2,'N')</v>
      </c>
      <c r="N3" s="1" t="s">
        <v>26</v>
      </c>
      <c r="O3" s="1" t="str">
        <f t="shared" ref="O3:O27" si="3">CONCATENATE("(",C3,",",$N$1,",'",IF(N3="Apto", "A", "N" ),"')")</f>
        <v>(1,3,'A')</v>
      </c>
      <c r="P3" s="1" t="s">
        <v>26</v>
      </c>
      <c r="Q3" s="1" t="str">
        <f t="shared" ref="Q3:Q27" si="4">CONCATENATE("(",C3,",",$P$1,",'",IF(P3="Apto", "A", "N" ),"')")</f>
        <v>(1,4,'A')</v>
      </c>
      <c r="R3" s="1" t="s">
        <v>26</v>
      </c>
      <c r="S3" s="1" t="str">
        <f t="shared" ref="S3:S27" si="5">CONCATENATE("(",C3,",",$R$1,",'",IF(R3="Apto", "A", "N" ),"')")</f>
        <v>(1,5,'A')</v>
      </c>
      <c r="AE3" s="1" t="str">
        <f t="shared" ref="AE3:AE53" si="6">CONCATENATE("('",D3,"', '",E3,"'),")</f>
        <v>('Jafet Casals', 'Jafet_Casals@gmail.com'),</v>
      </c>
    </row>
    <row r="4">
      <c r="A4" s="1">
        <v>1.0</v>
      </c>
      <c r="B4" s="1" t="s">
        <v>21</v>
      </c>
      <c r="C4" s="1">
        <v>2.0</v>
      </c>
      <c r="D4" s="1" t="s">
        <v>28</v>
      </c>
      <c r="E4" s="1" t="s">
        <v>29</v>
      </c>
      <c r="F4" s="1" t="s">
        <v>24</v>
      </c>
      <c r="G4" s="2">
        <v>45187.0</v>
      </c>
      <c r="H4" s="1">
        <v>1.0</v>
      </c>
      <c r="I4" s="1" t="s">
        <v>25</v>
      </c>
      <c r="J4" s="1" t="s">
        <v>26</v>
      </c>
      <c r="K4" s="1" t="str">
        <f t="shared" si="1"/>
        <v>(2,1,'A')</v>
      </c>
      <c r="L4" s="1" t="s">
        <v>27</v>
      </c>
      <c r="M4" s="1" t="str">
        <f t="shared" si="2"/>
        <v>(2,2,'N')</v>
      </c>
      <c r="N4" s="1" t="s">
        <v>26</v>
      </c>
      <c r="O4" s="1" t="str">
        <f t="shared" si="3"/>
        <v>(2,3,'A')</v>
      </c>
      <c r="P4" s="1" t="s">
        <v>26</v>
      </c>
      <c r="Q4" s="1" t="str">
        <f t="shared" si="4"/>
        <v>(2,4,'A')</v>
      </c>
      <c r="R4" s="1" t="s">
        <v>26</v>
      </c>
      <c r="S4" s="1" t="str">
        <f t="shared" si="5"/>
        <v>(2,5,'A')</v>
      </c>
      <c r="AE4" s="1" t="str">
        <f t="shared" si="6"/>
        <v>('Jorge Manzanares', 'Jorge_Manzanares@gmail.com'),</v>
      </c>
    </row>
    <row r="5">
      <c r="A5" s="1">
        <v>1.0</v>
      </c>
      <c r="B5" s="1" t="s">
        <v>21</v>
      </c>
      <c r="C5" s="1">
        <v>3.0</v>
      </c>
      <c r="D5" s="1" t="s">
        <v>30</v>
      </c>
      <c r="E5" s="1" t="s">
        <v>31</v>
      </c>
      <c r="F5" s="1" t="s">
        <v>24</v>
      </c>
      <c r="G5" s="2">
        <v>45187.0</v>
      </c>
      <c r="H5" s="1">
        <v>1.0</v>
      </c>
      <c r="I5" s="1" t="s">
        <v>25</v>
      </c>
      <c r="J5" s="1" t="s">
        <v>26</v>
      </c>
      <c r="K5" s="1" t="str">
        <f t="shared" si="1"/>
        <v>(3,1,'A')</v>
      </c>
      <c r="L5" s="1" t="s">
        <v>26</v>
      </c>
      <c r="M5" s="1" t="str">
        <f t="shared" si="2"/>
        <v>(3,2,'A')</v>
      </c>
      <c r="N5" s="1" t="s">
        <v>26</v>
      </c>
      <c r="O5" s="1" t="str">
        <f t="shared" si="3"/>
        <v>(3,3,'A')</v>
      </c>
      <c r="P5" s="1" t="s">
        <v>27</v>
      </c>
      <c r="Q5" s="1" t="str">
        <f t="shared" si="4"/>
        <v>(3,4,'N')</v>
      </c>
      <c r="R5" s="1" t="s">
        <v>26</v>
      </c>
      <c r="S5" s="1" t="str">
        <f t="shared" si="5"/>
        <v>(3,5,'A')</v>
      </c>
      <c r="AE5" s="1" t="str">
        <f t="shared" si="6"/>
        <v>('Onofre Adadia', 'Onofre_Adadia@gmail.com'),</v>
      </c>
    </row>
    <row r="6">
      <c r="A6" s="1">
        <v>1.0</v>
      </c>
      <c r="B6" s="1" t="s">
        <v>21</v>
      </c>
      <c r="C6" s="1">
        <v>4.0</v>
      </c>
      <c r="D6" s="1" t="s">
        <v>32</v>
      </c>
      <c r="E6" s="1" t="s">
        <v>33</v>
      </c>
      <c r="F6" s="1" t="s">
        <v>24</v>
      </c>
      <c r="G6" s="2">
        <v>45187.0</v>
      </c>
      <c r="H6" s="1">
        <v>1.0</v>
      </c>
      <c r="I6" s="1" t="s">
        <v>25</v>
      </c>
      <c r="J6" s="1" t="s">
        <v>26</v>
      </c>
      <c r="K6" s="1" t="str">
        <f t="shared" si="1"/>
        <v>(4,1,'A')</v>
      </c>
      <c r="L6" s="1" t="s">
        <v>27</v>
      </c>
      <c r="M6" s="1" t="str">
        <f t="shared" si="2"/>
        <v>(4,2,'N')</v>
      </c>
      <c r="N6" s="1" t="s">
        <v>27</v>
      </c>
      <c r="O6" s="1" t="str">
        <f t="shared" si="3"/>
        <v>(4,3,'N')</v>
      </c>
      <c r="P6" s="1" t="s">
        <v>26</v>
      </c>
      <c r="Q6" s="1" t="str">
        <f t="shared" si="4"/>
        <v>(4,4,'A')</v>
      </c>
      <c r="R6" s="1" t="s">
        <v>27</v>
      </c>
      <c r="S6" s="1" t="str">
        <f t="shared" si="5"/>
        <v>(4,5,'N')</v>
      </c>
      <c r="AE6" s="1" t="str">
        <f t="shared" si="6"/>
        <v>('Merche Prada', 'Merche_Prada@gmail.com'),</v>
      </c>
    </row>
    <row r="7">
      <c r="A7" s="1">
        <v>1.0</v>
      </c>
      <c r="B7" s="1" t="s">
        <v>21</v>
      </c>
      <c r="C7" s="1">
        <v>5.0</v>
      </c>
      <c r="D7" s="1" t="s">
        <v>34</v>
      </c>
      <c r="E7" s="1" t="s">
        <v>35</v>
      </c>
      <c r="F7" s="1" t="s">
        <v>24</v>
      </c>
      <c r="G7" s="2">
        <v>45187.0</v>
      </c>
      <c r="H7" s="1">
        <v>1.0</v>
      </c>
      <c r="I7" s="1" t="s">
        <v>25</v>
      </c>
      <c r="J7" s="1" t="s">
        <v>26</v>
      </c>
      <c r="K7" s="1" t="str">
        <f t="shared" si="1"/>
        <v>(5,1,'A')</v>
      </c>
      <c r="L7" s="1" t="s">
        <v>27</v>
      </c>
      <c r="M7" s="1" t="str">
        <f t="shared" si="2"/>
        <v>(5,2,'N')</v>
      </c>
      <c r="N7" s="1" t="s">
        <v>26</v>
      </c>
      <c r="O7" s="1" t="str">
        <f t="shared" si="3"/>
        <v>(5,3,'A')</v>
      </c>
      <c r="P7" s="1" t="s">
        <v>26</v>
      </c>
      <c r="Q7" s="1" t="str">
        <f t="shared" si="4"/>
        <v>(5,4,'A')</v>
      </c>
      <c r="R7" s="1" t="s">
        <v>26</v>
      </c>
      <c r="S7" s="1" t="str">
        <f t="shared" si="5"/>
        <v>(5,5,'A')</v>
      </c>
      <c r="AE7" s="1" t="str">
        <f t="shared" si="6"/>
        <v>('Pilar Abella', 'Pilar_Abella@gmail.com'),</v>
      </c>
    </row>
    <row r="8">
      <c r="A8" s="1">
        <v>1.0</v>
      </c>
      <c r="B8" s="1" t="s">
        <v>21</v>
      </c>
      <c r="C8" s="1">
        <v>6.0</v>
      </c>
      <c r="D8" s="1" t="s">
        <v>36</v>
      </c>
      <c r="E8" s="1" t="s">
        <v>37</v>
      </c>
      <c r="F8" s="1" t="s">
        <v>24</v>
      </c>
      <c r="G8" s="2">
        <v>45187.0</v>
      </c>
      <c r="H8" s="1">
        <v>1.0</v>
      </c>
      <c r="I8" s="1" t="s">
        <v>25</v>
      </c>
      <c r="J8" s="1" t="s">
        <v>26</v>
      </c>
      <c r="K8" s="1" t="str">
        <f t="shared" si="1"/>
        <v>(6,1,'A')</v>
      </c>
      <c r="L8" s="1" t="s">
        <v>26</v>
      </c>
      <c r="M8" s="1" t="str">
        <f t="shared" si="2"/>
        <v>(6,2,'A')</v>
      </c>
      <c r="N8" s="1" t="s">
        <v>26</v>
      </c>
      <c r="O8" s="1" t="str">
        <f t="shared" si="3"/>
        <v>(6,3,'A')</v>
      </c>
      <c r="P8" s="1" t="s">
        <v>26</v>
      </c>
      <c r="Q8" s="1" t="str">
        <f t="shared" si="4"/>
        <v>(6,4,'A')</v>
      </c>
      <c r="R8" s="1" t="s">
        <v>26</v>
      </c>
      <c r="S8" s="1" t="str">
        <f t="shared" si="5"/>
        <v>(6,5,'A')</v>
      </c>
      <c r="AE8" s="1" t="str">
        <f t="shared" si="6"/>
        <v>('Leoncio Tena', 'Leoncio_Tena@gmail.com'),</v>
      </c>
    </row>
    <row r="9">
      <c r="A9" s="1">
        <v>1.0</v>
      </c>
      <c r="B9" s="1" t="s">
        <v>21</v>
      </c>
      <c r="C9" s="1">
        <v>7.0</v>
      </c>
      <c r="D9" s="1" t="s">
        <v>38</v>
      </c>
      <c r="E9" s="1" t="s">
        <v>39</v>
      </c>
      <c r="F9" s="1" t="s">
        <v>24</v>
      </c>
      <c r="G9" s="2">
        <v>45187.0</v>
      </c>
      <c r="H9" s="1">
        <v>1.0</v>
      </c>
      <c r="I9" s="1" t="s">
        <v>25</v>
      </c>
      <c r="J9" s="1" t="s">
        <v>27</v>
      </c>
      <c r="K9" s="1" t="str">
        <f t="shared" si="1"/>
        <v>(7,1,'N')</v>
      </c>
      <c r="L9" s="1" t="s">
        <v>26</v>
      </c>
      <c r="M9" s="1" t="str">
        <f t="shared" si="2"/>
        <v>(7,2,'A')</v>
      </c>
      <c r="N9" s="1" t="s">
        <v>26</v>
      </c>
      <c r="O9" s="1" t="str">
        <f t="shared" si="3"/>
        <v>(7,3,'A')</v>
      </c>
      <c r="P9" s="1" t="s">
        <v>26</v>
      </c>
      <c r="Q9" s="1" t="str">
        <f t="shared" si="4"/>
        <v>(7,4,'A')</v>
      </c>
      <c r="R9" s="1" t="s">
        <v>26</v>
      </c>
      <c r="S9" s="1" t="str">
        <f t="shared" si="5"/>
        <v>(7,5,'A')</v>
      </c>
      <c r="AE9" s="1" t="str">
        <f t="shared" si="6"/>
        <v>('Odalys Torrijos', 'Odalys_Torrijos@gmail.com'),</v>
      </c>
    </row>
    <row r="10">
      <c r="A10" s="1">
        <v>1.0</v>
      </c>
      <c r="B10" s="1" t="s">
        <v>21</v>
      </c>
      <c r="C10" s="1">
        <v>8.0</v>
      </c>
      <c r="D10" s="1" t="s">
        <v>40</v>
      </c>
      <c r="E10" s="1" t="s">
        <v>41</v>
      </c>
      <c r="F10" s="1" t="s">
        <v>24</v>
      </c>
      <c r="G10" s="2">
        <v>45187.0</v>
      </c>
      <c r="H10" s="1">
        <v>1.0</v>
      </c>
      <c r="I10" s="1" t="s">
        <v>25</v>
      </c>
      <c r="J10" s="1" t="s">
        <v>27</v>
      </c>
      <c r="K10" s="1" t="str">
        <f t="shared" si="1"/>
        <v>(8,1,'N')</v>
      </c>
      <c r="L10" s="1" t="s">
        <v>26</v>
      </c>
      <c r="M10" s="1" t="str">
        <f t="shared" si="2"/>
        <v>(8,2,'A')</v>
      </c>
      <c r="N10" s="1" t="s">
        <v>26</v>
      </c>
      <c r="O10" s="1" t="str">
        <f t="shared" si="3"/>
        <v>(8,3,'A')</v>
      </c>
      <c r="P10" s="1" t="s">
        <v>26</v>
      </c>
      <c r="Q10" s="1" t="str">
        <f t="shared" si="4"/>
        <v>(8,4,'A')</v>
      </c>
      <c r="R10" s="1" t="s">
        <v>26</v>
      </c>
      <c r="S10" s="1" t="str">
        <f t="shared" si="5"/>
        <v>(8,5,'A')</v>
      </c>
      <c r="AE10" s="1" t="str">
        <f t="shared" si="6"/>
        <v>('Eduardo Caparrós', 'Eduardo_Caparrós@gmail.com'),</v>
      </c>
    </row>
    <row r="11">
      <c r="A11" s="1">
        <v>1.0</v>
      </c>
      <c r="B11" s="1" t="s">
        <v>21</v>
      </c>
      <c r="C11" s="1">
        <v>9.0</v>
      </c>
      <c r="D11" s="1" t="s">
        <v>42</v>
      </c>
      <c r="E11" s="1" t="s">
        <v>43</v>
      </c>
      <c r="F11" s="1" t="s">
        <v>24</v>
      </c>
      <c r="G11" s="2">
        <v>45187.0</v>
      </c>
      <c r="H11" s="1">
        <v>1.0</v>
      </c>
      <c r="I11" s="1" t="s">
        <v>25</v>
      </c>
      <c r="J11" s="1" t="s">
        <v>26</v>
      </c>
      <c r="K11" s="1" t="str">
        <f t="shared" si="1"/>
        <v>(9,1,'A')</v>
      </c>
      <c r="L11" s="1" t="s">
        <v>26</v>
      </c>
      <c r="M11" s="1" t="str">
        <f t="shared" si="2"/>
        <v>(9,2,'A')</v>
      </c>
      <c r="N11" s="1" t="s">
        <v>26</v>
      </c>
      <c r="O11" s="1" t="str">
        <f t="shared" si="3"/>
        <v>(9,3,'A')</v>
      </c>
      <c r="P11" s="1" t="s">
        <v>27</v>
      </c>
      <c r="Q11" s="1" t="str">
        <f t="shared" si="4"/>
        <v>(9,4,'N')</v>
      </c>
      <c r="R11" s="1" t="s">
        <v>26</v>
      </c>
      <c r="S11" s="1" t="str">
        <f t="shared" si="5"/>
        <v>(9,5,'A')</v>
      </c>
      <c r="AE11" s="1" t="str">
        <f t="shared" si="6"/>
        <v>('Ignacio Goicoechea', 'Ignacio_Goicoechea@gmail.com'),</v>
      </c>
    </row>
    <row r="12">
      <c r="A12" s="1">
        <v>1.0</v>
      </c>
      <c r="B12" s="1" t="s">
        <v>21</v>
      </c>
      <c r="C12" s="1">
        <v>10.0</v>
      </c>
      <c r="D12" s="1" t="s">
        <v>44</v>
      </c>
      <c r="E12" s="1" t="s">
        <v>45</v>
      </c>
      <c r="F12" s="1" t="s">
        <v>24</v>
      </c>
      <c r="G12" s="2">
        <v>45187.0</v>
      </c>
      <c r="H12" s="1">
        <v>1.0</v>
      </c>
      <c r="I12" s="1" t="s">
        <v>25</v>
      </c>
      <c r="J12" s="1" t="s">
        <v>26</v>
      </c>
      <c r="K12" s="1" t="str">
        <f t="shared" si="1"/>
        <v>(10,1,'A')</v>
      </c>
      <c r="L12" s="1" t="s">
        <v>27</v>
      </c>
      <c r="M12" s="1" t="str">
        <f t="shared" si="2"/>
        <v>(10,2,'N')</v>
      </c>
      <c r="N12" s="1" t="s">
        <v>26</v>
      </c>
      <c r="O12" s="1" t="str">
        <f t="shared" si="3"/>
        <v>(10,3,'A')</v>
      </c>
      <c r="P12" s="1" t="s">
        <v>26</v>
      </c>
      <c r="Q12" s="1" t="str">
        <f t="shared" si="4"/>
        <v>(10,4,'A')</v>
      </c>
      <c r="R12" s="1" t="s">
        <v>26</v>
      </c>
      <c r="S12" s="1" t="str">
        <f t="shared" si="5"/>
        <v>(10,5,'A')</v>
      </c>
      <c r="AE12" s="1" t="str">
        <f t="shared" si="6"/>
        <v>('Clementina Santos', 'Clementina_Santos@gmail.com'),</v>
      </c>
    </row>
    <row r="13">
      <c r="A13" s="1">
        <v>1.0</v>
      </c>
      <c r="B13" s="1" t="s">
        <v>21</v>
      </c>
      <c r="C13" s="1">
        <v>11.0</v>
      </c>
      <c r="D13" s="1" t="s">
        <v>46</v>
      </c>
      <c r="E13" s="1" t="s">
        <v>47</v>
      </c>
      <c r="F13" s="1" t="s">
        <v>24</v>
      </c>
      <c r="G13" s="2">
        <v>45187.0</v>
      </c>
      <c r="H13" s="1">
        <v>1.0</v>
      </c>
      <c r="I13" s="1" t="s">
        <v>25</v>
      </c>
      <c r="J13" s="1" t="s">
        <v>26</v>
      </c>
      <c r="K13" s="1" t="str">
        <f t="shared" si="1"/>
        <v>(11,1,'A')</v>
      </c>
      <c r="L13" s="1" t="s">
        <v>26</v>
      </c>
      <c r="M13" s="1" t="str">
        <f t="shared" si="2"/>
        <v>(11,2,'A')</v>
      </c>
      <c r="N13" s="1" t="s">
        <v>26</v>
      </c>
      <c r="O13" s="1" t="str">
        <f t="shared" si="3"/>
        <v>(11,3,'A')</v>
      </c>
      <c r="P13" s="1" t="s">
        <v>26</v>
      </c>
      <c r="Q13" s="1" t="str">
        <f t="shared" si="4"/>
        <v>(11,4,'A')</v>
      </c>
      <c r="R13" s="1" t="s">
        <v>26</v>
      </c>
      <c r="S13" s="1" t="str">
        <f t="shared" si="5"/>
        <v>(11,5,'A')</v>
      </c>
      <c r="AE13" s="1" t="str">
        <f t="shared" si="6"/>
        <v>('Daniela Falcó', 'Daniela_Falcó@gmail.com'),</v>
      </c>
    </row>
    <row r="14">
      <c r="A14" s="1">
        <v>1.0</v>
      </c>
      <c r="B14" s="1" t="s">
        <v>21</v>
      </c>
      <c r="C14" s="1">
        <v>12.0</v>
      </c>
      <c r="D14" s="1" t="s">
        <v>48</v>
      </c>
      <c r="E14" s="1" t="s">
        <v>49</v>
      </c>
      <c r="F14" s="1" t="s">
        <v>24</v>
      </c>
      <c r="G14" s="2">
        <v>45187.0</v>
      </c>
      <c r="H14" s="1">
        <v>1.0</v>
      </c>
      <c r="I14" s="1" t="s">
        <v>25</v>
      </c>
      <c r="J14" s="1" t="s">
        <v>26</v>
      </c>
      <c r="K14" s="1" t="str">
        <f t="shared" si="1"/>
        <v>(12,1,'A')</v>
      </c>
      <c r="L14" s="1" t="s">
        <v>27</v>
      </c>
      <c r="M14" s="1" t="str">
        <f t="shared" si="2"/>
        <v>(12,2,'N')</v>
      </c>
      <c r="N14" s="1" t="s">
        <v>27</v>
      </c>
      <c r="O14" s="1" t="str">
        <f t="shared" si="3"/>
        <v>(12,3,'N')</v>
      </c>
      <c r="P14" s="1" t="s">
        <v>26</v>
      </c>
      <c r="Q14" s="1" t="str">
        <f t="shared" si="4"/>
        <v>(12,4,'A')</v>
      </c>
      <c r="R14" s="1" t="s">
        <v>26</v>
      </c>
      <c r="S14" s="1" t="str">
        <f t="shared" si="5"/>
        <v>(12,5,'A')</v>
      </c>
      <c r="AE14" s="1" t="str">
        <f t="shared" si="6"/>
        <v>('Abraham Vélez', 'Abraham_Vélez@gmail.com'),</v>
      </c>
    </row>
    <row r="15">
      <c r="A15" s="1">
        <v>1.0</v>
      </c>
      <c r="B15" s="1" t="s">
        <v>21</v>
      </c>
      <c r="C15" s="1">
        <v>13.0</v>
      </c>
      <c r="D15" s="1" t="s">
        <v>50</v>
      </c>
      <c r="E15" s="1" t="s">
        <v>51</v>
      </c>
      <c r="F15" s="1" t="s">
        <v>24</v>
      </c>
      <c r="G15" s="2">
        <v>45187.0</v>
      </c>
      <c r="H15" s="1">
        <v>1.0</v>
      </c>
      <c r="I15" s="1" t="s">
        <v>25</v>
      </c>
      <c r="J15" s="1" t="s">
        <v>26</v>
      </c>
      <c r="K15" s="1" t="str">
        <f t="shared" si="1"/>
        <v>(13,1,'A')</v>
      </c>
      <c r="L15" s="1" t="s">
        <v>27</v>
      </c>
      <c r="M15" s="1" t="str">
        <f t="shared" si="2"/>
        <v>(13,2,'N')</v>
      </c>
      <c r="N15" s="1" t="s">
        <v>26</v>
      </c>
      <c r="O15" s="1" t="str">
        <f t="shared" si="3"/>
        <v>(13,3,'A')</v>
      </c>
      <c r="P15" s="1" t="s">
        <v>26</v>
      </c>
      <c r="Q15" s="1" t="str">
        <f t="shared" si="4"/>
        <v>(13,4,'A')</v>
      </c>
      <c r="R15" s="1" t="s">
        <v>26</v>
      </c>
      <c r="S15" s="1" t="str">
        <f t="shared" si="5"/>
        <v>(13,5,'A')</v>
      </c>
      <c r="AE15" s="1" t="str">
        <f t="shared" si="6"/>
        <v>('Maximiliano Menéndez', 'Maximiliano_Menéndez@gmail.com'),</v>
      </c>
    </row>
    <row r="16">
      <c r="A16" s="1">
        <v>1.0</v>
      </c>
      <c r="B16" s="1" t="s">
        <v>21</v>
      </c>
      <c r="C16" s="1">
        <v>14.0</v>
      </c>
      <c r="D16" s="1" t="s">
        <v>52</v>
      </c>
      <c r="E16" s="1" t="s">
        <v>53</v>
      </c>
      <c r="F16" s="1" t="s">
        <v>24</v>
      </c>
      <c r="G16" s="2">
        <v>45187.0</v>
      </c>
      <c r="H16" s="1">
        <v>1.0</v>
      </c>
      <c r="I16" s="1" t="s">
        <v>25</v>
      </c>
      <c r="J16" s="1" t="s">
        <v>26</v>
      </c>
      <c r="K16" s="1" t="str">
        <f t="shared" si="1"/>
        <v>(14,1,'A')</v>
      </c>
      <c r="L16" s="1" t="s">
        <v>26</v>
      </c>
      <c r="M16" s="1" t="str">
        <f t="shared" si="2"/>
        <v>(14,2,'A')</v>
      </c>
      <c r="N16" s="1" t="s">
        <v>26</v>
      </c>
      <c r="O16" s="1" t="str">
        <f t="shared" si="3"/>
        <v>(14,3,'A')</v>
      </c>
      <c r="P16" s="1" t="s">
        <v>26</v>
      </c>
      <c r="Q16" s="1" t="str">
        <f t="shared" si="4"/>
        <v>(14,4,'A')</v>
      </c>
      <c r="R16" s="1" t="s">
        <v>26</v>
      </c>
      <c r="S16" s="1" t="str">
        <f t="shared" si="5"/>
        <v>(14,5,'A')</v>
      </c>
      <c r="AE16" s="1" t="str">
        <f t="shared" si="6"/>
        <v>('Anita Heredia', 'Anita_Heredia@gmail.com'),</v>
      </c>
    </row>
    <row r="17">
      <c r="A17" s="1">
        <v>1.0</v>
      </c>
      <c r="B17" s="1" t="s">
        <v>21</v>
      </c>
      <c r="C17" s="1">
        <v>15.0</v>
      </c>
      <c r="D17" s="1" t="s">
        <v>54</v>
      </c>
      <c r="E17" s="1" t="s">
        <v>55</v>
      </c>
      <c r="F17" s="1" t="s">
        <v>24</v>
      </c>
      <c r="G17" s="2">
        <v>45187.0</v>
      </c>
      <c r="H17" s="1">
        <v>1.0</v>
      </c>
      <c r="I17" s="1" t="s">
        <v>25</v>
      </c>
      <c r="J17" s="1" t="s">
        <v>26</v>
      </c>
      <c r="K17" s="1" t="str">
        <f t="shared" si="1"/>
        <v>(15,1,'A')</v>
      </c>
      <c r="L17" s="1" t="s">
        <v>26</v>
      </c>
      <c r="M17" s="1" t="str">
        <f t="shared" si="2"/>
        <v>(15,2,'A')</v>
      </c>
      <c r="N17" s="1" t="s">
        <v>26</v>
      </c>
      <c r="O17" s="1" t="str">
        <f t="shared" si="3"/>
        <v>(15,3,'A')</v>
      </c>
      <c r="P17" s="1" t="s">
        <v>26</v>
      </c>
      <c r="Q17" s="1" t="str">
        <f t="shared" si="4"/>
        <v>(15,4,'A')</v>
      </c>
      <c r="R17" s="1" t="s">
        <v>26</v>
      </c>
      <c r="S17" s="1" t="str">
        <f t="shared" si="5"/>
        <v>(15,5,'A')</v>
      </c>
      <c r="AE17" s="1" t="str">
        <f t="shared" si="6"/>
        <v>('Eli Casas', 'Eli_Casas@gmail.com'),</v>
      </c>
    </row>
    <row r="18">
      <c r="A18" s="1">
        <v>1.0</v>
      </c>
      <c r="B18" s="1" t="s">
        <v>21</v>
      </c>
      <c r="C18" s="1">
        <v>16.0</v>
      </c>
      <c r="D18" s="1" t="s">
        <v>56</v>
      </c>
      <c r="E18" s="1" t="s">
        <v>57</v>
      </c>
      <c r="F18" s="1" t="s">
        <v>58</v>
      </c>
      <c r="G18" s="2">
        <v>45334.0</v>
      </c>
      <c r="H18" s="1">
        <v>1.0</v>
      </c>
      <c r="I18" s="1" t="s">
        <v>25</v>
      </c>
      <c r="J18" s="1" t="s">
        <v>26</v>
      </c>
      <c r="K18" s="1" t="str">
        <f t="shared" si="1"/>
        <v>(16,1,'A')</v>
      </c>
      <c r="L18" s="1" t="s">
        <v>27</v>
      </c>
      <c r="M18" s="1" t="str">
        <f t="shared" si="2"/>
        <v>(16,2,'N')</v>
      </c>
      <c r="N18" s="1" t="s">
        <v>27</v>
      </c>
      <c r="O18" s="1" t="str">
        <f t="shared" si="3"/>
        <v>(16,3,'N')</v>
      </c>
      <c r="P18" s="1" t="s">
        <v>26</v>
      </c>
      <c r="Q18" s="1" t="str">
        <f t="shared" si="4"/>
        <v>(16,4,'A')</v>
      </c>
      <c r="R18" s="1" t="s">
        <v>27</v>
      </c>
      <c r="S18" s="1" t="str">
        <f t="shared" si="5"/>
        <v>(16,5,'N')</v>
      </c>
      <c r="AE18" s="1" t="str">
        <f t="shared" si="6"/>
        <v>('Guillermo Borrego', 'Guillermo_Borrego@gmail.com'),</v>
      </c>
    </row>
    <row r="19">
      <c r="A19" s="1">
        <v>1.0</v>
      </c>
      <c r="B19" s="1" t="s">
        <v>21</v>
      </c>
      <c r="C19" s="1">
        <v>17.0</v>
      </c>
      <c r="D19" s="1" t="s">
        <v>59</v>
      </c>
      <c r="E19" s="1" t="s">
        <v>60</v>
      </c>
      <c r="F19" s="1" t="s">
        <v>58</v>
      </c>
      <c r="G19" s="2">
        <v>45334.0</v>
      </c>
      <c r="H19" s="1">
        <v>1.0</v>
      </c>
      <c r="I19" s="1" t="s">
        <v>25</v>
      </c>
      <c r="J19" s="1" t="s">
        <v>26</v>
      </c>
      <c r="K19" s="1" t="str">
        <f t="shared" si="1"/>
        <v>(17,1,'A')</v>
      </c>
      <c r="L19" s="1" t="s">
        <v>27</v>
      </c>
      <c r="M19" s="1" t="str">
        <f t="shared" si="2"/>
        <v>(17,2,'N')</v>
      </c>
      <c r="N19" s="1" t="s">
        <v>26</v>
      </c>
      <c r="O19" s="1" t="str">
        <f t="shared" si="3"/>
        <v>(17,3,'A')</v>
      </c>
      <c r="P19" s="1" t="s">
        <v>26</v>
      </c>
      <c r="Q19" s="1" t="str">
        <f t="shared" si="4"/>
        <v>(17,4,'A')</v>
      </c>
      <c r="R19" s="1" t="s">
        <v>27</v>
      </c>
      <c r="S19" s="1" t="str">
        <f t="shared" si="5"/>
        <v>(17,5,'N')</v>
      </c>
      <c r="AE19" s="1" t="str">
        <f t="shared" si="6"/>
        <v>('Sergio Aguirre', 'Sergio_Aguirre@gmail.com'),</v>
      </c>
    </row>
    <row r="20">
      <c r="A20" s="1">
        <v>1.0</v>
      </c>
      <c r="B20" s="1" t="s">
        <v>21</v>
      </c>
      <c r="C20" s="1">
        <v>18.0</v>
      </c>
      <c r="D20" s="1" t="s">
        <v>61</v>
      </c>
      <c r="E20" s="1" t="s">
        <v>62</v>
      </c>
      <c r="F20" s="1" t="s">
        <v>58</v>
      </c>
      <c r="G20" s="2">
        <v>45334.0</v>
      </c>
      <c r="H20" s="1">
        <v>1.0</v>
      </c>
      <c r="I20" s="1" t="s">
        <v>25</v>
      </c>
      <c r="J20" s="1" t="s">
        <v>26</v>
      </c>
      <c r="K20" s="1" t="str">
        <f t="shared" si="1"/>
        <v>(18,1,'A')</v>
      </c>
      <c r="L20" s="1" t="s">
        <v>27</v>
      </c>
      <c r="M20" s="1" t="str">
        <f t="shared" si="2"/>
        <v>(18,2,'N')</v>
      </c>
      <c r="N20" s="1" t="s">
        <v>26</v>
      </c>
      <c r="O20" s="1" t="str">
        <f t="shared" si="3"/>
        <v>(18,3,'A')</v>
      </c>
      <c r="P20" s="1" t="s">
        <v>26</v>
      </c>
      <c r="Q20" s="1" t="str">
        <f t="shared" si="4"/>
        <v>(18,4,'A')</v>
      </c>
      <c r="R20" s="1" t="s">
        <v>26</v>
      </c>
      <c r="S20" s="1" t="str">
        <f t="shared" si="5"/>
        <v>(18,5,'A')</v>
      </c>
      <c r="AE20" s="1" t="str">
        <f t="shared" si="6"/>
        <v>('Carlito Carrión', 'Carlito_Carrión@gmail.com'),</v>
      </c>
    </row>
    <row r="21">
      <c r="A21" s="1">
        <v>1.0</v>
      </c>
      <c r="B21" s="1" t="s">
        <v>21</v>
      </c>
      <c r="C21" s="1">
        <v>19.0</v>
      </c>
      <c r="D21" s="1" t="s">
        <v>63</v>
      </c>
      <c r="E21" s="1" t="s">
        <v>64</v>
      </c>
      <c r="F21" s="1" t="s">
        <v>58</v>
      </c>
      <c r="G21" s="2">
        <v>45334.0</v>
      </c>
      <c r="H21" s="1">
        <v>1.0</v>
      </c>
      <c r="I21" s="1" t="s">
        <v>25</v>
      </c>
      <c r="J21" s="1" t="s">
        <v>26</v>
      </c>
      <c r="K21" s="1" t="str">
        <f t="shared" si="1"/>
        <v>(19,1,'A')</v>
      </c>
      <c r="L21" s="1" t="s">
        <v>26</v>
      </c>
      <c r="M21" s="1" t="str">
        <f t="shared" si="2"/>
        <v>(19,2,'A')</v>
      </c>
      <c r="N21" s="1" t="s">
        <v>26</v>
      </c>
      <c r="O21" s="1" t="str">
        <f t="shared" si="3"/>
        <v>(19,3,'A')</v>
      </c>
      <c r="P21" s="1" t="s">
        <v>26</v>
      </c>
      <c r="Q21" s="1" t="str">
        <f t="shared" si="4"/>
        <v>(19,4,'A')</v>
      </c>
      <c r="R21" s="1" t="s">
        <v>26</v>
      </c>
      <c r="S21" s="1" t="str">
        <f t="shared" si="5"/>
        <v>(19,5,'A')</v>
      </c>
      <c r="AE21" s="1" t="str">
        <f t="shared" si="6"/>
        <v>('Haydée Figueroa', 'Haydée_Figueroa@gmail.com'),</v>
      </c>
    </row>
    <row r="22">
      <c r="A22" s="1">
        <v>1.0</v>
      </c>
      <c r="B22" s="1" t="s">
        <v>21</v>
      </c>
      <c r="C22" s="1">
        <v>20.0</v>
      </c>
      <c r="D22" s="1" t="s">
        <v>65</v>
      </c>
      <c r="E22" s="1" t="s">
        <v>66</v>
      </c>
      <c r="F22" s="1" t="s">
        <v>58</v>
      </c>
      <c r="G22" s="2">
        <v>45334.0</v>
      </c>
      <c r="H22" s="1">
        <v>1.0</v>
      </c>
      <c r="I22" s="1" t="s">
        <v>25</v>
      </c>
      <c r="J22" s="1" t="s">
        <v>27</v>
      </c>
      <c r="K22" s="1" t="str">
        <f t="shared" si="1"/>
        <v>(20,1,'N')</v>
      </c>
      <c r="L22" s="1" t="s">
        <v>26</v>
      </c>
      <c r="M22" s="1" t="str">
        <f t="shared" si="2"/>
        <v>(20,2,'A')</v>
      </c>
      <c r="N22" s="1" t="s">
        <v>27</v>
      </c>
      <c r="O22" s="1" t="str">
        <f t="shared" si="3"/>
        <v>(20,3,'N')</v>
      </c>
      <c r="P22" s="1" t="s">
        <v>26</v>
      </c>
      <c r="Q22" s="1" t="str">
        <f t="shared" si="4"/>
        <v>(20,4,'A')</v>
      </c>
      <c r="R22" s="1" t="s">
        <v>26</v>
      </c>
      <c r="S22" s="1" t="str">
        <f t="shared" si="5"/>
        <v>(20,5,'A')</v>
      </c>
      <c r="AE22" s="1" t="str">
        <f t="shared" si="6"/>
        <v>('Chita Mancebo', 'Chita_Mancebo@gmail.com'),</v>
      </c>
    </row>
    <row r="23">
      <c r="A23" s="1">
        <v>1.0</v>
      </c>
      <c r="B23" s="1" t="s">
        <v>21</v>
      </c>
      <c r="C23" s="1">
        <v>21.0</v>
      </c>
      <c r="D23" s="1" t="s">
        <v>67</v>
      </c>
      <c r="E23" s="1" t="s">
        <v>68</v>
      </c>
      <c r="F23" s="1" t="s">
        <v>58</v>
      </c>
      <c r="G23" s="2">
        <v>45334.0</v>
      </c>
      <c r="H23" s="1">
        <v>1.0</v>
      </c>
      <c r="I23" s="1" t="s">
        <v>25</v>
      </c>
      <c r="J23" s="1" t="s">
        <v>27</v>
      </c>
      <c r="K23" s="1" t="str">
        <f t="shared" si="1"/>
        <v>(21,1,'N')</v>
      </c>
      <c r="L23" s="1" t="s">
        <v>27</v>
      </c>
      <c r="M23" s="1" t="str">
        <f t="shared" si="2"/>
        <v>(21,2,'N')</v>
      </c>
      <c r="N23" s="1" t="s">
        <v>26</v>
      </c>
      <c r="O23" s="1" t="str">
        <f t="shared" si="3"/>
        <v>(21,3,'A')</v>
      </c>
      <c r="P23" s="1" t="s">
        <v>26</v>
      </c>
      <c r="Q23" s="1" t="str">
        <f t="shared" si="4"/>
        <v>(21,4,'A')</v>
      </c>
      <c r="R23" s="1" t="s">
        <v>26</v>
      </c>
      <c r="S23" s="1" t="str">
        <f t="shared" si="5"/>
        <v>(21,5,'A')</v>
      </c>
      <c r="AE23" s="1" t="str">
        <f t="shared" si="6"/>
        <v>('Joaquina Asensio', 'Joaquina_Asensio@gmail.com'),</v>
      </c>
    </row>
    <row r="24">
      <c r="A24" s="1">
        <v>1.0</v>
      </c>
      <c r="B24" s="1" t="s">
        <v>21</v>
      </c>
      <c r="C24" s="1">
        <v>22.0</v>
      </c>
      <c r="D24" s="1" t="s">
        <v>69</v>
      </c>
      <c r="E24" s="1" t="s">
        <v>70</v>
      </c>
      <c r="F24" s="1" t="s">
        <v>58</v>
      </c>
      <c r="G24" s="2">
        <v>45334.0</v>
      </c>
      <c r="H24" s="1">
        <v>1.0</v>
      </c>
      <c r="I24" s="1" t="s">
        <v>25</v>
      </c>
      <c r="J24" s="1" t="s">
        <v>26</v>
      </c>
      <c r="K24" s="1" t="str">
        <f t="shared" si="1"/>
        <v>(22,1,'A')</v>
      </c>
      <c r="L24" s="1" t="s">
        <v>26</v>
      </c>
      <c r="M24" s="1" t="str">
        <f t="shared" si="2"/>
        <v>(22,2,'A')</v>
      </c>
      <c r="N24" s="1" t="s">
        <v>27</v>
      </c>
      <c r="O24" s="1" t="str">
        <f t="shared" si="3"/>
        <v>(22,3,'N')</v>
      </c>
      <c r="P24" s="1" t="s">
        <v>26</v>
      </c>
      <c r="Q24" s="1" t="str">
        <f t="shared" si="4"/>
        <v>(22,4,'A')</v>
      </c>
      <c r="R24" s="1" t="s">
        <v>26</v>
      </c>
      <c r="S24" s="1" t="str">
        <f t="shared" si="5"/>
        <v>(22,5,'A')</v>
      </c>
      <c r="AE24" s="1" t="str">
        <f t="shared" si="6"/>
        <v>('Cristian Sarabia', 'Cristian_Sarabia@gmail.com'),</v>
      </c>
    </row>
    <row r="25">
      <c r="A25" s="1">
        <v>1.0</v>
      </c>
      <c r="B25" s="1" t="s">
        <v>21</v>
      </c>
      <c r="C25" s="1">
        <v>23.0</v>
      </c>
      <c r="D25" s="1" t="s">
        <v>71</v>
      </c>
      <c r="E25" s="1" t="s">
        <v>72</v>
      </c>
      <c r="F25" s="1" t="s">
        <v>58</v>
      </c>
      <c r="G25" s="2">
        <v>45334.0</v>
      </c>
      <c r="H25" s="1">
        <v>1.0</v>
      </c>
      <c r="I25" s="1" t="s">
        <v>25</v>
      </c>
      <c r="J25" s="1" t="s">
        <v>27</v>
      </c>
      <c r="K25" s="1" t="str">
        <f t="shared" si="1"/>
        <v>(23,1,'N')</v>
      </c>
      <c r="L25" s="1" t="s">
        <v>26</v>
      </c>
      <c r="M25" s="1" t="str">
        <f t="shared" si="2"/>
        <v>(23,2,'A')</v>
      </c>
      <c r="N25" s="1" t="s">
        <v>27</v>
      </c>
      <c r="O25" s="1" t="str">
        <f t="shared" si="3"/>
        <v>(23,3,'N')</v>
      </c>
      <c r="P25" s="1" t="s">
        <v>26</v>
      </c>
      <c r="Q25" s="1" t="str">
        <f t="shared" si="4"/>
        <v>(23,4,'A')</v>
      </c>
      <c r="R25" s="1" t="s">
        <v>26</v>
      </c>
      <c r="S25" s="1" t="str">
        <f t="shared" si="5"/>
        <v>(23,5,'A')</v>
      </c>
      <c r="AE25" s="1" t="str">
        <f t="shared" si="6"/>
        <v>('Isabel Ibáñez', 'Isabel_Ibáñez@gmail.com'),</v>
      </c>
    </row>
    <row r="26">
      <c r="A26" s="1">
        <v>1.0</v>
      </c>
      <c r="B26" s="1" t="s">
        <v>21</v>
      </c>
      <c r="C26" s="1">
        <v>24.0</v>
      </c>
      <c r="D26" s="1" t="s">
        <v>73</v>
      </c>
      <c r="E26" s="1" t="s">
        <v>74</v>
      </c>
      <c r="F26" s="1" t="s">
        <v>58</v>
      </c>
      <c r="G26" s="2">
        <v>45334.0</v>
      </c>
      <c r="H26" s="1">
        <v>1.0</v>
      </c>
      <c r="I26" s="1" t="s">
        <v>25</v>
      </c>
      <c r="J26" s="1" t="s">
        <v>27</v>
      </c>
      <c r="K26" s="1" t="str">
        <f t="shared" si="1"/>
        <v>(24,1,'N')</v>
      </c>
      <c r="L26" s="1" t="s">
        <v>26</v>
      </c>
      <c r="M26" s="1" t="str">
        <f t="shared" si="2"/>
        <v>(24,2,'A')</v>
      </c>
      <c r="N26" s="1" t="s">
        <v>27</v>
      </c>
      <c r="O26" s="1" t="str">
        <f t="shared" si="3"/>
        <v>(24,3,'N')</v>
      </c>
      <c r="P26" s="1" t="s">
        <v>27</v>
      </c>
      <c r="Q26" s="1" t="str">
        <f t="shared" si="4"/>
        <v>(24,4,'N')</v>
      </c>
      <c r="R26" s="1" t="s">
        <v>26</v>
      </c>
      <c r="S26" s="1" t="str">
        <f t="shared" si="5"/>
        <v>(24,5,'A')</v>
      </c>
      <c r="AE26" s="1" t="str">
        <f t="shared" si="6"/>
        <v>('Desiderio Jordá', 'Desiderio_Jordá@gmail.com'),</v>
      </c>
    </row>
    <row r="27">
      <c r="A27" s="1">
        <v>1.0</v>
      </c>
      <c r="B27" s="1" t="s">
        <v>21</v>
      </c>
      <c r="C27" s="1">
        <v>25.0</v>
      </c>
      <c r="D27" s="1" t="s">
        <v>75</v>
      </c>
      <c r="E27" s="1" t="s">
        <v>76</v>
      </c>
      <c r="F27" s="1" t="s">
        <v>58</v>
      </c>
      <c r="G27" s="2">
        <v>45334.0</v>
      </c>
      <c r="H27" s="1">
        <v>1.0</v>
      </c>
      <c r="I27" s="1" t="s">
        <v>25</v>
      </c>
      <c r="J27" s="1" t="s">
        <v>26</v>
      </c>
      <c r="K27" s="1" t="str">
        <f t="shared" si="1"/>
        <v>(25,1,'A')</v>
      </c>
      <c r="L27" s="1" t="s">
        <v>26</v>
      </c>
      <c r="M27" s="1" t="str">
        <f t="shared" si="2"/>
        <v>(25,2,'A')</v>
      </c>
      <c r="N27" s="1" t="s">
        <v>26</v>
      </c>
      <c r="O27" s="1" t="str">
        <f t="shared" si="3"/>
        <v>(25,3,'A')</v>
      </c>
      <c r="P27" s="1" t="s">
        <v>26</v>
      </c>
      <c r="Q27" s="1" t="str">
        <f t="shared" si="4"/>
        <v>(25,4,'A')</v>
      </c>
      <c r="R27" s="1" t="s">
        <v>26</v>
      </c>
      <c r="S27" s="1" t="str">
        <f t="shared" si="5"/>
        <v>(25,5,'A')</v>
      </c>
      <c r="AE27" s="1" t="str">
        <f t="shared" si="6"/>
        <v>('Rosalina Llanos', 'Rosalina_Llanos@gmail.com'),</v>
      </c>
    </row>
    <row r="28">
      <c r="A28" s="1">
        <v>2.0</v>
      </c>
      <c r="B28" s="1" t="s">
        <v>77</v>
      </c>
      <c r="C28" s="1">
        <v>26.0</v>
      </c>
      <c r="D28" s="1" t="s">
        <v>78</v>
      </c>
      <c r="E28" s="1" t="s">
        <v>79</v>
      </c>
      <c r="F28" s="1" t="s">
        <v>24</v>
      </c>
      <c r="G28" s="2">
        <v>45187.0</v>
      </c>
      <c r="H28" s="1">
        <v>1.0</v>
      </c>
      <c r="I28" s="1" t="s">
        <v>25</v>
      </c>
      <c r="T28" s="1" t="s">
        <v>26</v>
      </c>
      <c r="U28" s="1" t="str">
        <f t="shared" ref="U28:U54" si="7">CONCATENATE("(",C28,",",$T$1,",'",IF(T28="Apto", "A", "N" ),"')")</f>
        <v>(26,6,'A')</v>
      </c>
      <c r="V28" s="1" t="s">
        <v>26</v>
      </c>
      <c r="W28" s="1" t="str">
        <f t="shared" ref="W28:W54" si="8">CONCATENATE("(",C28,",",$V$1,",'",IF(V28="Apto", "A", "N" ),"')")</f>
        <v>(26,7,'A')</v>
      </c>
      <c r="X28" s="1" t="s">
        <v>26</v>
      </c>
      <c r="Y28" s="1" t="str">
        <f t="shared" ref="Y28:Y54" si="9">CONCATENATE("(",C28,",",$X$1,",'",IF(X28="Apto", "A", "N" ),"')")</f>
        <v>(26,8,'A')</v>
      </c>
      <c r="Z28" s="1" t="s">
        <v>26</v>
      </c>
      <c r="AA28" s="1" t="str">
        <f t="shared" ref="AA28:AA54" si="10">CONCATENATE("(",C28,",",$Z$1,",'",IF(Z28="Apto", "A", "N" ),"')")</f>
        <v>(26,9,'A')</v>
      </c>
      <c r="AB28" s="1" t="s">
        <v>27</v>
      </c>
      <c r="AC28" s="1" t="str">
        <f t="shared" ref="AC28:AC54" si="11">CONCATENATE("(",C28,",",$AB$1,",'",IF(AB28="Apto", "A", "N" ),"')")</f>
        <v>(26,10,'N')</v>
      </c>
      <c r="AE28" s="1" t="str">
        <f t="shared" si="6"/>
        <v>('Amor Larrañaga', 'Amor_Larrañaga@gmail.com'),</v>
      </c>
    </row>
    <row r="29">
      <c r="A29" s="1">
        <v>2.0</v>
      </c>
      <c r="B29" s="1" t="s">
        <v>77</v>
      </c>
      <c r="C29" s="1">
        <v>27.0</v>
      </c>
      <c r="D29" s="1" t="s">
        <v>80</v>
      </c>
      <c r="E29" s="1" t="s">
        <v>81</v>
      </c>
      <c r="F29" s="1" t="s">
        <v>24</v>
      </c>
      <c r="G29" s="2">
        <v>45187.0</v>
      </c>
      <c r="H29" s="1">
        <v>1.0</v>
      </c>
      <c r="I29" s="1" t="s">
        <v>25</v>
      </c>
      <c r="T29" s="1" t="s">
        <v>27</v>
      </c>
      <c r="U29" s="1" t="str">
        <f t="shared" si="7"/>
        <v>(27,6,'N')</v>
      </c>
      <c r="V29" s="1" t="s">
        <v>27</v>
      </c>
      <c r="W29" s="1" t="str">
        <f t="shared" si="8"/>
        <v>(27,7,'N')</v>
      </c>
      <c r="X29" s="1" t="s">
        <v>26</v>
      </c>
      <c r="Y29" s="1" t="str">
        <f t="shared" si="9"/>
        <v>(27,8,'A')</v>
      </c>
      <c r="Z29" s="1" t="s">
        <v>27</v>
      </c>
      <c r="AA29" s="1" t="str">
        <f t="shared" si="10"/>
        <v>(27,9,'N')</v>
      </c>
      <c r="AB29" s="1" t="s">
        <v>26</v>
      </c>
      <c r="AC29" s="1" t="str">
        <f t="shared" si="11"/>
        <v>(27,10,'A')</v>
      </c>
      <c r="AE29" s="1" t="str">
        <f t="shared" si="6"/>
        <v>('Teodoro Alberola', 'Teodoro_Alberola@gmail.com'),</v>
      </c>
    </row>
    <row r="30">
      <c r="A30" s="1">
        <v>2.0</v>
      </c>
      <c r="B30" s="1" t="s">
        <v>77</v>
      </c>
      <c r="C30" s="1">
        <v>28.0</v>
      </c>
      <c r="D30" s="1" t="s">
        <v>82</v>
      </c>
      <c r="E30" s="1" t="s">
        <v>83</v>
      </c>
      <c r="F30" s="1" t="s">
        <v>24</v>
      </c>
      <c r="G30" s="2">
        <v>45187.0</v>
      </c>
      <c r="H30" s="1">
        <v>1.0</v>
      </c>
      <c r="I30" s="1" t="s">
        <v>25</v>
      </c>
      <c r="T30" s="1" t="s">
        <v>26</v>
      </c>
      <c r="U30" s="1" t="str">
        <f t="shared" si="7"/>
        <v>(28,6,'A')</v>
      </c>
      <c r="V30" s="1" t="s">
        <v>27</v>
      </c>
      <c r="W30" s="1" t="str">
        <f t="shared" si="8"/>
        <v>(28,7,'N')</v>
      </c>
      <c r="X30" s="1" t="s">
        <v>26</v>
      </c>
      <c r="Y30" s="1" t="str">
        <f t="shared" si="9"/>
        <v>(28,8,'A')</v>
      </c>
      <c r="Z30" s="1" t="s">
        <v>27</v>
      </c>
      <c r="AA30" s="1" t="str">
        <f t="shared" si="10"/>
        <v>(28,9,'N')</v>
      </c>
      <c r="AB30" s="1" t="s">
        <v>26</v>
      </c>
      <c r="AC30" s="1" t="str">
        <f t="shared" si="11"/>
        <v>(28,10,'A')</v>
      </c>
      <c r="AE30" s="1" t="str">
        <f t="shared" si="6"/>
        <v>('Cleto Plana', 'Cleto_Plana@gmail.com'),</v>
      </c>
    </row>
    <row r="31">
      <c r="A31" s="1">
        <v>2.0</v>
      </c>
      <c r="B31" s="1" t="s">
        <v>77</v>
      </c>
      <c r="C31" s="1">
        <v>29.0</v>
      </c>
      <c r="D31" s="1" t="s">
        <v>84</v>
      </c>
      <c r="E31" s="1" t="s">
        <v>85</v>
      </c>
      <c r="F31" s="1" t="s">
        <v>24</v>
      </c>
      <c r="G31" s="2">
        <v>45187.0</v>
      </c>
      <c r="H31" s="1">
        <v>1.0</v>
      </c>
      <c r="I31" s="1" t="s">
        <v>25</v>
      </c>
      <c r="T31" s="1" t="s">
        <v>26</v>
      </c>
      <c r="U31" s="1" t="str">
        <f t="shared" si="7"/>
        <v>(29,6,'A')</v>
      </c>
      <c r="V31" s="1" t="s">
        <v>27</v>
      </c>
      <c r="W31" s="1" t="str">
        <f t="shared" si="8"/>
        <v>(29,7,'N')</v>
      </c>
      <c r="X31" s="1" t="s">
        <v>26</v>
      </c>
      <c r="Y31" s="1" t="str">
        <f t="shared" si="9"/>
        <v>(29,8,'A')</v>
      </c>
      <c r="Z31" s="1" t="s">
        <v>27</v>
      </c>
      <c r="AA31" s="1" t="str">
        <f t="shared" si="10"/>
        <v>(29,9,'N')</v>
      </c>
      <c r="AB31" s="1" t="s">
        <v>26</v>
      </c>
      <c r="AC31" s="1" t="str">
        <f t="shared" si="11"/>
        <v>(29,10,'A')</v>
      </c>
      <c r="AE31" s="1" t="str">
        <f t="shared" si="6"/>
        <v>('Aitana Sebastián', 'Aitana_Sebastián@gmail.com'),</v>
      </c>
    </row>
    <row r="32">
      <c r="A32" s="1">
        <v>2.0</v>
      </c>
      <c r="B32" s="1" t="s">
        <v>77</v>
      </c>
      <c r="C32" s="1">
        <v>30.0</v>
      </c>
      <c r="D32" s="1" t="s">
        <v>86</v>
      </c>
      <c r="E32" s="1" t="s">
        <v>87</v>
      </c>
      <c r="F32" s="1" t="s">
        <v>24</v>
      </c>
      <c r="G32" s="2">
        <v>45187.0</v>
      </c>
      <c r="H32" s="1">
        <v>1.0</v>
      </c>
      <c r="I32" s="1" t="s">
        <v>25</v>
      </c>
      <c r="T32" s="1" t="s">
        <v>26</v>
      </c>
      <c r="U32" s="1" t="str">
        <f t="shared" si="7"/>
        <v>(30,6,'A')</v>
      </c>
      <c r="V32" s="1" t="s">
        <v>26</v>
      </c>
      <c r="W32" s="1" t="str">
        <f t="shared" si="8"/>
        <v>(30,7,'A')</v>
      </c>
      <c r="X32" s="1" t="s">
        <v>26</v>
      </c>
      <c r="Y32" s="1" t="str">
        <f t="shared" si="9"/>
        <v>(30,8,'A')</v>
      </c>
      <c r="Z32" s="1" t="s">
        <v>26</v>
      </c>
      <c r="AA32" s="1" t="str">
        <f t="shared" si="10"/>
        <v>(30,9,'A')</v>
      </c>
      <c r="AB32" s="1" t="s">
        <v>27</v>
      </c>
      <c r="AC32" s="1" t="str">
        <f t="shared" si="11"/>
        <v>(30,10,'N')</v>
      </c>
      <c r="AE32" s="1" t="str">
        <f t="shared" si="6"/>
        <v>('Dolores Valbuena', 'Dolores_Valbuena@gmail.com'),</v>
      </c>
    </row>
    <row r="33">
      <c r="A33" s="1">
        <v>2.0</v>
      </c>
      <c r="B33" s="1" t="s">
        <v>77</v>
      </c>
      <c r="C33" s="1">
        <v>31.0</v>
      </c>
      <c r="D33" s="1" t="s">
        <v>88</v>
      </c>
      <c r="E33" s="1" t="s">
        <v>89</v>
      </c>
      <c r="F33" s="1" t="s">
        <v>24</v>
      </c>
      <c r="G33" s="2">
        <v>45187.0</v>
      </c>
      <c r="H33" s="1">
        <v>1.0</v>
      </c>
      <c r="I33" s="1" t="s">
        <v>25</v>
      </c>
      <c r="T33" s="1" t="s">
        <v>27</v>
      </c>
      <c r="U33" s="1" t="str">
        <f t="shared" si="7"/>
        <v>(31,6,'N')</v>
      </c>
      <c r="V33" s="1" t="s">
        <v>27</v>
      </c>
      <c r="W33" s="1" t="str">
        <f t="shared" si="8"/>
        <v>(31,7,'N')</v>
      </c>
      <c r="X33" s="1" t="s">
        <v>27</v>
      </c>
      <c r="Y33" s="1" t="str">
        <f t="shared" si="9"/>
        <v>(31,8,'N')</v>
      </c>
      <c r="Z33" s="1" t="s">
        <v>26</v>
      </c>
      <c r="AA33" s="1" t="str">
        <f t="shared" si="10"/>
        <v>(31,9,'A')</v>
      </c>
      <c r="AB33" s="1" t="s">
        <v>27</v>
      </c>
      <c r="AC33" s="1" t="str">
        <f t="shared" si="11"/>
        <v>(31,10,'N')</v>
      </c>
      <c r="AE33" s="1" t="str">
        <f t="shared" si="6"/>
        <v>('Julie Ferrer', 'Julie_Ferrer@gmail.com'),</v>
      </c>
    </row>
    <row r="34">
      <c r="A34" s="1">
        <v>2.0</v>
      </c>
      <c r="B34" s="1" t="s">
        <v>77</v>
      </c>
      <c r="C34" s="1">
        <v>32.0</v>
      </c>
      <c r="D34" s="1" t="s">
        <v>90</v>
      </c>
      <c r="E34" s="1" t="s">
        <v>91</v>
      </c>
      <c r="F34" s="1" t="s">
        <v>24</v>
      </c>
      <c r="G34" s="2">
        <v>45187.0</v>
      </c>
      <c r="H34" s="1">
        <v>1.0</v>
      </c>
      <c r="I34" s="1" t="s">
        <v>25</v>
      </c>
      <c r="T34" s="1" t="s">
        <v>27</v>
      </c>
      <c r="U34" s="1" t="str">
        <f t="shared" si="7"/>
        <v>(32,6,'N')</v>
      </c>
      <c r="V34" s="1" t="s">
        <v>26</v>
      </c>
      <c r="W34" s="1" t="str">
        <f t="shared" si="8"/>
        <v>(32,7,'A')</v>
      </c>
      <c r="X34" s="1" t="s">
        <v>26</v>
      </c>
      <c r="Y34" s="1" t="str">
        <f t="shared" si="9"/>
        <v>(32,8,'A')</v>
      </c>
      <c r="Z34" s="1" t="s">
        <v>26</v>
      </c>
      <c r="AA34" s="1" t="str">
        <f t="shared" si="10"/>
        <v>(32,9,'A')</v>
      </c>
      <c r="AB34" s="1" t="s">
        <v>26</v>
      </c>
      <c r="AC34" s="1" t="str">
        <f t="shared" si="11"/>
        <v>(32,10,'A')</v>
      </c>
      <c r="AE34" s="1" t="str">
        <f t="shared" si="6"/>
        <v>('Mireia Cabañas', 'Mireia_Cabañas@gmail.com'),</v>
      </c>
    </row>
    <row r="35">
      <c r="A35" s="1">
        <v>2.0</v>
      </c>
      <c r="B35" s="1" t="s">
        <v>77</v>
      </c>
      <c r="C35" s="1">
        <v>33.0</v>
      </c>
      <c r="D35" s="1" t="s">
        <v>92</v>
      </c>
      <c r="E35" s="1" t="s">
        <v>93</v>
      </c>
      <c r="F35" s="1" t="s">
        <v>24</v>
      </c>
      <c r="G35" s="2">
        <v>45187.0</v>
      </c>
      <c r="H35" s="1">
        <v>1.0</v>
      </c>
      <c r="I35" s="1" t="s">
        <v>25</v>
      </c>
      <c r="T35" s="1" t="s">
        <v>26</v>
      </c>
      <c r="U35" s="1" t="str">
        <f t="shared" si="7"/>
        <v>(33,6,'A')</v>
      </c>
      <c r="V35" s="1" t="s">
        <v>26</v>
      </c>
      <c r="W35" s="1" t="str">
        <f t="shared" si="8"/>
        <v>(33,7,'A')</v>
      </c>
      <c r="X35" s="1" t="s">
        <v>27</v>
      </c>
      <c r="Y35" s="1" t="str">
        <f t="shared" si="9"/>
        <v>(33,8,'N')</v>
      </c>
      <c r="Z35" s="1" t="s">
        <v>26</v>
      </c>
      <c r="AA35" s="1" t="str">
        <f t="shared" si="10"/>
        <v>(33,9,'A')</v>
      </c>
      <c r="AB35" s="1" t="s">
        <v>26</v>
      </c>
      <c r="AC35" s="1" t="str">
        <f t="shared" si="11"/>
        <v>(33,10,'A')</v>
      </c>
      <c r="AE35" s="1" t="str">
        <f t="shared" si="6"/>
        <v>('Flavia Amador', 'Flavia_Amador@gmail.com'),</v>
      </c>
    </row>
    <row r="36">
      <c r="A36" s="1">
        <v>2.0</v>
      </c>
      <c r="B36" s="1" t="s">
        <v>77</v>
      </c>
      <c r="C36" s="1">
        <v>34.0</v>
      </c>
      <c r="D36" s="1" t="s">
        <v>94</v>
      </c>
      <c r="E36" s="1" t="s">
        <v>95</v>
      </c>
      <c r="F36" s="1" t="s">
        <v>24</v>
      </c>
      <c r="G36" s="2">
        <v>45187.0</v>
      </c>
      <c r="H36" s="1">
        <v>1.0</v>
      </c>
      <c r="I36" s="1" t="s">
        <v>25</v>
      </c>
      <c r="T36" s="1" t="s">
        <v>27</v>
      </c>
      <c r="U36" s="1" t="str">
        <f t="shared" si="7"/>
        <v>(34,6,'N')</v>
      </c>
      <c r="V36" s="1" t="s">
        <v>26</v>
      </c>
      <c r="W36" s="1" t="str">
        <f t="shared" si="8"/>
        <v>(34,7,'A')</v>
      </c>
      <c r="X36" s="1" t="s">
        <v>26</v>
      </c>
      <c r="Y36" s="1" t="str">
        <f t="shared" si="9"/>
        <v>(34,8,'A')</v>
      </c>
      <c r="Z36" s="1" t="s">
        <v>26</v>
      </c>
      <c r="AA36" s="1" t="str">
        <f t="shared" si="10"/>
        <v>(34,9,'A')</v>
      </c>
      <c r="AB36" s="1" t="s">
        <v>26</v>
      </c>
      <c r="AC36" s="1" t="str">
        <f t="shared" si="11"/>
        <v>(34,10,'A')</v>
      </c>
      <c r="AE36" s="1" t="str">
        <f t="shared" si="6"/>
        <v>('Albino Macias', 'Albino_Macias@gmail.com'),</v>
      </c>
    </row>
    <row r="37">
      <c r="A37" s="1">
        <v>2.0</v>
      </c>
      <c r="B37" s="1" t="s">
        <v>77</v>
      </c>
      <c r="C37" s="1">
        <v>35.0</v>
      </c>
      <c r="D37" s="1" t="s">
        <v>96</v>
      </c>
      <c r="E37" s="1" t="s">
        <v>97</v>
      </c>
      <c r="F37" s="1" t="s">
        <v>24</v>
      </c>
      <c r="G37" s="2">
        <v>45187.0</v>
      </c>
      <c r="H37" s="1">
        <v>1.0</v>
      </c>
      <c r="I37" s="1" t="s">
        <v>25</v>
      </c>
      <c r="T37" s="1" t="s">
        <v>27</v>
      </c>
      <c r="U37" s="1" t="str">
        <f t="shared" si="7"/>
        <v>(35,6,'N')</v>
      </c>
      <c r="V37" s="1" t="s">
        <v>26</v>
      </c>
      <c r="W37" s="1" t="str">
        <f t="shared" si="8"/>
        <v>(35,7,'A')</v>
      </c>
      <c r="X37" s="1" t="s">
        <v>26</v>
      </c>
      <c r="Y37" s="1" t="str">
        <f t="shared" si="9"/>
        <v>(35,8,'A')</v>
      </c>
      <c r="Z37" s="1" t="s">
        <v>27</v>
      </c>
      <c r="AA37" s="1" t="str">
        <f t="shared" si="10"/>
        <v>(35,9,'N')</v>
      </c>
      <c r="AB37" s="1" t="s">
        <v>26</v>
      </c>
      <c r="AC37" s="1" t="str">
        <f t="shared" si="11"/>
        <v>(35,10,'A')</v>
      </c>
      <c r="AE37" s="1" t="str">
        <f t="shared" si="6"/>
        <v>('Ester Sánchez', 'Ester_Sánchez@gmail.com'),</v>
      </c>
    </row>
    <row r="38">
      <c r="A38" s="1">
        <v>2.0</v>
      </c>
      <c r="B38" s="1" t="s">
        <v>77</v>
      </c>
      <c r="C38" s="1">
        <v>36.0</v>
      </c>
      <c r="D38" s="1" t="s">
        <v>98</v>
      </c>
      <c r="E38" s="1" t="s">
        <v>99</v>
      </c>
      <c r="F38" s="1" t="s">
        <v>24</v>
      </c>
      <c r="G38" s="2">
        <v>45187.0</v>
      </c>
      <c r="H38" s="1">
        <v>1.0</v>
      </c>
      <c r="I38" s="1" t="s">
        <v>25</v>
      </c>
      <c r="T38" s="1" t="s">
        <v>27</v>
      </c>
      <c r="U38" s="1" t="str">
        <f t="shared" si="7"/>
        <v>(36,6,'N')</v>
      </c>
      <c r="V38" s="1" t="s">
        <v>26</v>
      </c>
      <c r="W38" s="1" t="str">
        <f t="shared" si="8"/>
        <v>(36,7,'A')</v>
      </c>
      <c r="X38" s="1" t="s">
        <v>26</v>
      </c>
      <c r="Y38" s="1" t="str">
        <f t="shared" si="9"/>
        <v>(36,8,'A')</v>
      </c>
      <c r="Z38" s="1" t="s">
        <v>26</v>
      </c>
      <c r="AA38" s="1" t="str">
        <f t="shared" si="10"/>
        <v>(36,9,'A')</v>
      </c>
      <c r="AB38" s="1" t="s">
        <v>26</v>
      </c>
      <c r="AC38" s="1" t="str">
        <f t="shared" si="11"/>
        <v>(36,10,'A')</v>
      </c>
      <c r="AE38" s="1" t="str">
        <f t="shared" si="6"/>
        <v>('Luis Miguel Galvez', 'Luis_Miguel_Galvez@gmail.com'),</v>
      </c>
    </row>
    <row r="39">
      <c r="A39" s="1">
        <v>2.0</v>
      </c>
      <c r="B39" s="1" t="s">
        <v>77</v>
      </c>
      <c r="C39" s="1">
        <v>37.0</v>
      </c>
      <c r="D39" s="1" t="s">
        <v>100</v>
      </c>
      <c r="E39" s="1" t="s">
        <v>101</v>
      </c>
      <c r="F39" s="1" t="s">
        <v>24</v>
      </c>
      <c r="G39" s="2">
        <v>45187.0</v>
      </c>
      <c r="H39" s="1">
        <v>1.0</v>
      </c>
      <c r="I39" s="1" t="s">
        <v>25</v>
      </c>
      <c r="T39" s="1" t="s">
        <v>26</v>
      </c>
      <c r="U39" s="1" t="str">
        <f t="shared" si="7"/>
        <v>(37,6,'A')</v>
      </c>
      <c r="V39" s="1" t="s">
        <v>26</v>
      </c>
      <c r="W39" s="1" t="str">
        <f t="shared" si="8"/>
        <v>(37,7,'A')</v>
      </c>
      <c r="X39" s="1" t="s">
        <v>26</v>
      </c>
      <c r="Y39" s="1" t="str">
        <f t="shared" si="9"/>
        <v>(37,8,'A')</v>
      </c>
      <c r="Z39" s="1" t="s">
        <v>26</v>
      </c>
      <c r="AA39" s="1" t="str">
        <f t="shared" si="10"/>
        <v>(37,9,'A')</v>
      </c>
      <c r="AB39" s="1" t="s">
        <v>26</v>
      </c>
      <c r="AC39" s="1" t="str">
        <f t="shared" si="11"/>
        <v>(37,10,'A')</v>
      </c>
      <c r="AE39" s="1" t="str">
        <f t="shared" si="6"/>
        <v>('Loida Arellano', 'Loida_Arellano@gmail.com'),</v>
      </c>
    </row>
    <row r="40">
      <c r="A40" s="1">
        <v>2.0</v>
      </c>
      <c r="B40" s="1" t="s">
        <v>77</v>
      </c>
      <c r="C40" s="1">
        <v>38.0</v>
      </c>
      <c r="D40" s="1" t="s">
        <v>102</v>
      </c>
      <c r="E40" s="1" t="s">
        <v>103</v>
      </c>
      <c r="F40" s="1" t="s">
        <v>24</v>
      </c>
      <c r="G40" s="2">
        <v>45187.0</v>
      </c>
      <c r="H40" s="1">
        <v>1.0</v>
      </c>
      <c r="I40" s="1" t="s">
        <v>25</v>
      </c>
      <c r="T40" s="1" t="s">
        <v>26</v>
      </c>
      <c r="U40" s="1" t="str">
        <f t="shared" si="7"/>
        <v>(38,6,'A')</v>
      </c>
      <c r="V40" s="1" t="s">
        <v>26</v>
      </c>
      <c r="W40" s="1" t="str">
        <f t="shared" si="8"/>
        <v>(38,7,'A')</v>
      </c>
      <c r="X40" s="1" t="s">
        <v>27</v>
      </c>
      <c r="Y40" s="1" t="str">
        <f t="shared" si="9"/>
        <v>(38,8,'N')</v>
      </c>
      <c r="Z40" s="1" t="s">
        <v>27</v>
      </c>
      <c r="AA40" s="1" t="str">
        <f t="shared" si="10"/>
        <v>(38,9,'N')</v>
      </c>
      <c r="AB40" s="1" t="s">
        <v>27</v>
      </c>
      <c r="AC40" s="1" t="str">
        <f t="shared" si="11"/>
        <v>(38,10,'N')</v>
      </c>
      <c r="AE40" s="1" t="str">
        <f t="shared" si="6"/>
        <v>('Heraclio Duque', 'Heraclio_Duque@gmail.com'),</v>
      </c>
    </row>
    <row r="41">
      <c r="A41" s="1">
        <v>2.0</v>
      </c>
      <c r="B41" s="1" t="s">
        <v>77</v>
      </c>
      <c r="C41" s="1">
        <v>39.0</v>
      </c>
      <c r="D41" s="1" t="s">
        <v>104</v>
      </c>
      <c r="E41" s="1" t="s">
        <v>105</v>
      </c>
      <c r="F41" s="1" t="s">
        <v>24</v>
      </c>
      <c r="G41" s="2">
        <v>45187.0</v>
      </c>
      <c r="H41" s="1">
        <v>1.0</v>
      </c>
      <c r="I41" s="1" t="s">
        <v>25</v>
      </c>
      <c r="T41" s="1" t="s">
        <v>26</v>
      </c>
      <c r="U41" s="1" t="str">
        <f t="shared" si="7"/>
        <v>(39,6,'A')</v>
      </c>
      <c r="V41" s="1" t="s">
        <v>26</v>
      </c>
      <c r="W41" s="1" t="str">
        <f t="shared" si="8"/>
        <v>(39,7,'A')</v>
      </c>
      <c r="X41" s="1" t="s">
        <v>26</v>
      </c>
      <c r="Y41" s="1" t="str">
        <f t="shared" si="9"/>
        <v>(39,8,'A')</v>
      </c>
      <c r="Z41" s="1" t="s">
        <v>26</v>
      </c>
      <c r="AA41" s="1" t="str">
        <f t="shared" si="10"/>
        <v>(39,9,'A')</v>
      </c>
      <c r="AB41" s="1" t="s">
        <v>26</v>
      </c>
      <c r="AC41" s="1" t="str">
        <f t="shared" si="11"/>
        <v>(39,10,'A')</v>
      </c>
      <c r="AE41" s="1" t="str">
        <f t="shared" si="6"/>
        <v>('Herberto Figueras', 'Herberto_Figueras@gmail.com'),</v>
      </c>
    </row>
    <row r="42">
      <c r="A42" s="1">
        <v>2.0</v>
      </c>
      <c r="B42" s="1" t="s">
        <v>77</v>
      </c>
      <c r="C42" s="1">
        <v>40.0</v>
      </c>
      <c r="D42" s="1" t="s">
        <v>106</v>
      </c>
      <c r="E42" s="1" t="s">
        <v>107</v>
      </c>
      <c r="F42" s="1" t="s">
        <v>58</v>
      </c>
      <c r="G42" s="2">
        <v>45334.0</v>
      </c>
      <c r="H42" s="1">
        <v>2.0</v>
      </c>
      <c r="I42" s="1" t="s">
        <v>108</v>
      </c>
      <c r="T42" s="1" t="s">
        <v>26</v>
      </c>
      <c r="U42" s="1" t="str">
        <f t="shared" si="7"/>
        <v>(40,6,'A')</v>
      </c>
      <c r="V42" s="1" t="s">
        <v>26</v>
      </c>
      <c r="W42" s="1" t="str">
        <f t="shared" si="8"/>
        <v>(40,7,'A')</v>
      </c>
      <c r="X42" s="1" t="s">
        <v>26</v>
      </c>
      <c r="Y42" s="1" t="str">
        <f t="shared" si="9"/>
        <v>(40,8,'A')</v>
      </c>
      <c r="Z42" s="1" t="s">
        <v>26</v>
      </c>
      <c r="AA42" s="1" t="str">
        <f t="shared" si="10"/>
        <v>(40,9,'A')</v>
      </c>
      <c r="AB42" s="1" t="s">
        <v>26</v>
      </c>
      <c r="AC42" s="1" t="str">
        <f t="shared" si="11"/>
        <v>(40,10,'A')</v>
      </c>
      <c r="AE42" s="1" t="str">
        <f t="shared" si="6"/>
        <v>('Teresa Laguna', 'Teresa_Laguna@gmail.com'),</v>
      </c>
    </row>
    <row r="43">
      <c r="A43" s="1">
        <v>2.0</v>
      </c>
      <c r="B43" s="1" t="s">
        <v>77</v>
      </c>
      <c r="C43" s="1">
        <v>41.0</v>
      </c>
      <c r="D43" s="1" t="s">
        <v>109</v>
      </c>
      <c r="E43" s="1" t="s">
        <v>110</v>
      </c>
      <c r="F43" s="1" t="s">
        <v>58</v>
      </c>
      <c r="G43" s="2">
        <v>45334.0</v>
      </c>
      <c r="H43" s="1">
        <v>2.0</v>
      </c>
      <c r="I43" s="1" t="s">
        <v>108</v>
      </c>
      <c r="T43" s="1" t="s">
        <v>26</v>
      </c>
      <c r="U43" s="1" t="str">
        <f t="shared" si="7"/>
        <v>(41,6,'A')</v>
      </c>
      <c r="V43" s="1" t="s">
        <v>26</v>
      </c>
      <c r="W43" s="1" t="str">
        <f t="shared" si="8"/>
        <v>(41,7,'A')</v>
      </c>
      <c r="X43" s="1" t="s">
        <v>27</v>
      </c>
      <c r="Y43" s="1" t="str">
        <f t="shared" si="9"/>
        <v>(41,8,'N')</v>
      </c>
      <c r="Z43" s="1" t="s">
        <v>26</v>
      </c>
      <c r="AA43" s="1" t="str">
        <f t="shared" si="10"/>
        <v>(41,9,'A')</v>
      </c>
      <c r="AB43" s="1" t="s">
        <v>26</v>
      </c>
      <c r="AC43" s="1" t="str">
        <f t="shared" si="11"/>
        <v>(41,10,'A')</v>
      </c>
      <c r="AE43" s="1" t="str">
        <f t="shared" si="6"/>
        <v>('Estrella Murillo', 'Estrella_Murillo@gmail.com'),</v>
      </c>
    </row>
    <row r="44">
      <c r="A44" s="1">
        <v>2.0</v>
      </c>
      <c r="B44" s="1" t="s">
        <v>77</v>
      </c>
      <c r="C44" s="1">
        <v>42.0</v>
      </c>
      <c r="D44" s="1" t="s">
        <v>111</v>
      </c>
      <c r="E44" s="1" t="s">
        <v>112</v>
      </c>
      <c r="F44" s="1" t="s">
        <v>58</v>
      </c>
      <c r="G44" s="2">
        <v>45334.0</v>
      </c>
      <c r="H44" s="1">
        <v>2.0</v>
      </c>
      <c r="I44" s="1" t="s">
        <v>108</v>
      </c>
      <c r="T44" s="1" t="s">
        <v>26</v>
      </c>
      <c r="U44" s="1" t="str">
        <f t="shared" si="7"/>
        <v>(42,6,'A')</v>
      </c>
      <c r="V44" s="1" t="s">
        <v>26</v>
      </c>
      <c r="W44" s="1" t="str">
        <f t="shared" si="8"/>
        <v>(42,7,'A')</v>
      </c>
      <c r="X44" s="1" t="s">
        <v>26</v>
      </c>
      <c r="Y44" s="1" t="str">
        <f t="shared" si="9"/>
        <v>(42,8,'A')</v>
      </c>
      <c r="Z44" s="1" t="s">
        <v>26</v>
      </c>
      <c r="AA44" s="1" t="str">
        <f t="shared" si="10"/>
        <v>(42,9,'A')</v>
      </c>
      <c r="AB44" s="1" t="s">
        <v>26</v>
      </c>
      <c r="AC44" s="1" t="str">
        <f t="shared" si="11"/>
        <v>(42,10,'A')</v>
      </c>
      <c r="AE44" s="1" t="str">
        <f t="shared" si="6"/>
        <v>('Ernesto Uriarte', 'Ernesto_Uriarte@gmail.com'),</v>
      </c>
    </row>
    <row r="45">
      <c r="A45" s="1">
        <v>2.0</v>
      </c>
      <c r="B45" s="1" t="s">
        <v>77</v>
      </c>
      <c r="C45" s="1">
        <v>43.0</v>
      </c>
      <c r="D45" s="1" t="s">
        <v>113</v>
      </c>
      <c r="E45" s="1" t="s">
        <v>114</v>
      </c>
      <c r="F45" s="1" t="s">
        <v>58</v>
      </c>
      <c r="G45" s="2">
        <v>45334.0</v>
      </c>
      <c r="H45" s="1">
        <v>2.0</v>
      </c>
      <c r="I45" s="1" t="s">
        <v>108</v>
      </c>
      <c r="T45" s="1" t="s">
        <v>26</v>
      </c>
      <c r="U45" s="1" t="str">
        <f t="shared" si="7"/>
        <v>(43,6,'A')</v>
      </c>
      <c r="V45" s="1" t="s">
        <v>27</v>
      </c>
      <c r="W45" s="1" t="str">
        <f t="shared" si="8"/>
        <v>(43,7,'N')</v>
      </c>
      <c r="X45" s="1" t="s">
        <v>27</v>
      </c>
      <c r="Y45" s="1" t="str">
        <f t="shared" si="9"/>
        <v>(43,8,'N')</v>
      </c>
      <c r="Z45" s="1" t="s">
        <v>26</v>
      </c>
      <c r="AA45" s="1" t="str">
        <f t="shared" si="10"/>
        <v>(43,9,'A')</v>
      </c>
      <c r="AB45" s="1" t="s">
        <v>26</v>
      </c>
      <c r="AC45" s="1" t="str">
        <f t="shared" si="11"/>
        <v>(43,10,'A')</v>
      </c>
      <c r="AE45" s="1" t="str">
        <f t="shared" si="6"/>
        <v>('Daniela Guitart', 'Daniela_Guitart@gmail.com'),</v>
      </c>
    </row>
    <row r="46">
      <c r="A46" s="1">
        <v>2.0</v>
      </c>
      <c r="B46" s="1" t="s">
        <v>77</v>
      </c>
      <c r="C46" s="1">
        <v>44.0</v>
      </c>
      <c r="D46" s="1" t="s">
        <v>115</v>
      </c>
      <c r="E46" s="1" t="s">
        <v>116</v>
      </c>
      <c r="F46" s="1" t="s">
        <v>58</v>
      </c>
      <c r="G46" s="2">
        <v>45334.0</v>
      </c>
      <c r="H46" s="1">
        <v>2.0</v>
      </c>
      <c r="I46" s="1" t="s">
        <v>108</v>
      </c>
      <c r="T46" s="1" t="s">
        <v>27</v>
      </c>
      <c r="U46" s="1" t="str">
        <f t="shared" si="7"/>
        <v>(44,6,'N')</v>
      </c>
      <c r="V46" s="1" t="s">
        <v>26</v>
      </c>
      <c r="W46" s="1" t="str">
        <f t="shared" si="8"/>
        <v>(44,7,'A')</v>
      </c>
      <c r="X46" s="1" t="s">
        <v>26</v>
      </c>
      <c r="Y46" s="1" t="str">
        <f t="shared" si="9"/>
        <v>(44,8,'A')</v>
      </c>
      <c r="Z46" s="1" t="s">
        <v>26</v>
      </c>
      <c r="AA46" s="1" t="str">
        <f t="shared" si="10"/>
        <v>(44,9,'A')</v>
      </c>
      <c r="AB46" s="1" t="s">
        <v>27</v>
      </c>
      <c r="AC46" s="1" t="str">
        <f t="shared" si="11"/>
        <v>(44,10,'N')</v>
      </c>
      <c r="AE46" s="1" t="str">
        <f t="shared" si="6"/>
        <v>('Timoteo Trillo', 'Timoteo_Trillo@gmail.com'),</v>
      </c>
    </row>
    <row r="47">
      <c r="A47" s="1">
        <v>2.0</v>
      </c>
      <c r="B47" s="1" t="s">
        <v>77</v>
      </c>
      <c r="C47" s="1">
        <v>45.0</v>
      </c>
      <c r="D47" s="1" t="s">
        <v>117</v>
      </c>
      <c r="E47" s="1" t="s">
        <v>118</v>
      </c>
      <c r="F47" s="1" t="s">
        <v>58</v>
      </c>
      <c r="G47" s="2">
        <v>45334.0</v>
      </c>
      <c r="H47" s="1">
        <v>2.0</v>
      </c>
      <c r="I47" s="1" t="s">
        <v>108</v>
      </c>
      <c r="T47" s="1" t="s">
        <v>26</v>
      </c>
      <c r="U47" s="1" t="str">
        <f t="shared" si="7"/>
        <v>(45,6,'A')</v>
      </c>
      <c r="V47" s="1" t="s">
        <v>26</v>
      </c>
      <c r="W47" s="1" t="str">
        <f t="shared" si="8"/>
        <v>(45,7,'A')</v>
      </c>
      <c r="X47" s="1" t="s">
        <v>26</v>
      </c>
      <c r="Y47" s="1" t="str">
        <f t="shared" si="9"/>
        <v>(45,8,'A')</v>
      </c>
      <c r="Z47" s="1" t="s">
        <v>26</v>
      </c>
      <c r="AA47" s="1" t="str">
        <f t="shared" si="10"/>
        <v>(45,9,'A')</v>
      </c>
      <c r="AB47" s="1" t="s">
        <v>26</v>
      </c>
      <c r="AC47" s="1" t="str">
        <f t="shared" si="11"/>
        <v>(45,10,'A')</v>
      </c>
      <c r="AE47" s="1" t="str">
        <f t="shared" si="6"/>
        <v>('Ricarda Tovar', 'Ricarda_Tovar@gmail.com'),</v>
      </c>
    </row>
    <row r="48">
      <c r="A48" s="1">
        <v>2.0</v>
      </c>
      <c r="B48" s="1" t="s">
        <v>77</v>
      </c>
      <c r="C48" s="1">
        <v>46.0</v>
      </c>
      <c r="D48" s="1" t="s">
        <v>119</v>
      </c>
      <c r="E48" s="1" t="s">
        <v>120</v>
      </c>
      <c r="F48" s="1" t="s">
        <v>58</v>
      </c>
      <c r="G48" s="2">
        <v>45334.0</v>
      </c>
      <c r="H48" s="1">
        <v>2.0</v>
      </c>
      <c r="I48" s="1" t="s">
        <v>108</v>
      </c>
      <c r="T48" s="1" t="s">
        <v>27</v>
      </c>
      <c r="U48" s="1" t="str">
        <f t="shared" si="7"/>
        <v>(46,6,'N')</v>
      </c>
      <c r="V48" s="1" t="s">
        <v>27</v>
      </c>
      <c r="W48" s="1" t="str">
        <f t="shared" si="8"/>
        <v>(46,7,'N')</v>
      </c>
      <c r="X48" s="1" t="s">
        <v>27</v>
      </c>
      <c r="Y48" s="1" t="str">
        <f t="shared" si="9"/>
        <v>(46,8,'N')</v>
      </c>
      <c r="Z48" s="1" t="s">
        <v>26</v>
      </c>
      <c r="AA48" s="1" t="str">
        <f t="shared" si="10"/>
        <v>(46,9,'A')</v>
      </c>
      <c r="AB48" s="1" t="s">
        <v>26</v>
      </c>
      <c r="AC48" s="1" t="str">
        <f t="shared" si="11"/>
        <v>(46,10,'A')</v>
      </c>
      <c r="AE48" s="1" t="str">
        <f t="shared" si="6"/>
        <v>('Alejandra Vilaplana', 'Alejandra_Vilaplana@gmail.com'),</v>
      </c>
    </row>
    <row r="49">
      <c r="A49" s="1">
        <v>2.0</v>
      </c>
      <c r="B49" s="1" t="s">
        <v>77</v>
      </c>
      <c r="C49" s="1">
        <v>47.0</v>
      </c>
      <c r="D49" s="1" t="s">
        <v>121</v>
      </c>
      <c r="E49" s="1" t="s">
        <v>122</v>
      </c>
      <c r="F49" s="1" t="s">
        <v>58</v>
      </c>
      <c r="G49" s="2">
        <v>45334.0</v>
      </c>
      <c r="H49" s="1">
        <v>2.0</v>
      </c>
      <c r="I49" s="1" t="s">
        <v>108</v>
      </c>
      <c r="T49" s="1" t="s">
        <v>27</v>
      </c>
      <c r="U49" s="1" t="str">
        <f t="shared" si="7"/>
        <v>(47,6,'N')</v>
      </c>
      <c r="V49" s="1" t="s">
        <v>27</v>
      </c>
      <c r="W49" s="1" t="str">
        <f t="shared" si="8"/>
        <v>(47,7,'N')</v>
      </c>
      <c r="X49" s="1" t="s">
        <v>26</v>
      </c>
      <c r="Y49" s="1" t="str">
        <f t="shared" si="9"/>
        <v>(47,8,'A')</v>
      </c>
      <c r="Z49" s="1" t="s">
        <v>27</v>
      </c>
      <c r="AA49" s="1" t="str">
        <f t="shared" si="10"/>
        <v>(47,9,'N')</v>
      </c>
      <c r="AB49" s="1" t="s">
        <v>27</v>
      </c>
      <c r="AC49" s="1" t="str">
        <f t="shared" si="11"/>
        <v>(47,10,'N')</v>
      </c>
      <c r="AE49" s="1" t="str">
        <f t="shared" si="6"/>
        <v>('Daniel Rosselló', 'Daniel_Rosselló@gmail.com'),</v>
      </c>
    </row>
    <row r="50">
      <c r="A50" s="1">
        <v>2.0</v>
      </c>
      <c r="B50" s="1" t="s">
        <v>77</v>
      </c>
      <c r="C50" s="1">
        <v>48.0</v>
      </c>
      <c r="D50" s="1" t="s">
        <v>123</v>
      </c>
      <c r="E50" s="1" t="s">
        <v>124</v>
      </c>
      <c r="F50" s="1" t="s">
        <v>58</v>
      </c>
      <c r="G50" s="2">
        <v>45334.0</v>
      </c>
      <c r="H50" s="1">
        <v>2.0</v>
      </c>
      <c r="I50" s="1" t="s">
        <v>108</v>
      </c>
      <c r="T50" s="1" t="s">
        <v>27</v>
      </c>
      <c r="U50" s="1" t="str">
        <f t="shared" si="7"/>
        <v>(48,6,'N')</v>
      </c>
      <c r="V50" s="1" t="s">
        <v>27</v>
      </c>
      <c r="W50" s="1" t="str">
        <f t="shared" si="8"/>
        <v>(48,7,'N')</v>
      </c>
      <c r="X50" s="1" t="s">
        <v>27</v>
      </c>
      <c r="Y50" s="1" t="str">
        <f t="shared" si="9"/>
        <v>(48,8,'N')</v>
      </c>
      <c r="Z50" s="1" t="s">
        <v>26</v>
      </c>
      <c r="AA50" s="1" t="str">
        <f t="shared" si="10"/>
        <v>(48,9,'A')</v>
      </c>
      <c r="AB50" s="1" t="s">
        <v>26</v>
      </c>
      <c r="AC50" s="1" t="str">
        <f t="shared" si="11"/>
        <v>(48,10,'A')</v>
      </c>
      <c r="AE50" s="1" t="str">
        <f t="shared" si="6"/>
        <v>('Rita Olivares', 'Rita_Olivares@gmail.com'),</v>
      </c>
    </row>
    <row r="51">
      <c r="A51" s="1">
        <v>2.0</v>
      </c>
      <c r="B51" s="1" t="s">
        <v>77</v>
      </c>
      <c r="C51" s="1">
        <v>49.0</v>
      </c>
      <c r="D51" s="1" t="s">
        <v>125</v>
      </c>
      <c r="E51" s="1" t="s">
        <v>126</v>
      </c>
      <c r="F51" s="1" t="s">
        <v>58</v>
      </c>
      <c r="G51" s="2">
        <v>45334.0</v>
      </c>
      <c r="H51" s="1">
        <v>2.0</v>
      </c>
      <c r="I51" s="1" t="s">
        <v>108</v>
      </c>
      <c r="T51" s="1" t="s">
        <v>26</v>
      </c>
      <c r="U51" s="1" t="str">
        <f t="shared" si="7"/>
        <v>(49,6,'A')</v>
      </c>
      <c r="V51" s="1" t="s">
        <v>26</v>
      </c>
      <c r="W51" s="1" t="str">
        <f t="shared" si="8"/>
        <v>(49,7,'A')</v>
      </c>
      <c r="X51" s="1" t="s">
        <v>27</v>
      </c>
      <c r="Y51" s="1" t="str">
        <f t="shared" si="9"/>
        <v>(49,8,'N')</v>
      </c>
      <c r="Z51" s="1" t="s">
        <v>26</v>
      </c>
      <c r="AA51" s="1" t="str">
        <f t="shared" si="10"/>
        <v>(49,9,'A')</v>
      </c>
      <c r="AB51" s="1" t="s">
        <v>26</v>
      </c>
      <c r="AC51" s="1" t="str">
        <f t="shared" si="11"/>
        <v>(49,10,'A')</v>
      </c>
      <c r="AE51" s="1" t="str">
        <f t="shared" si="6"/>
        <v>('Cleto Montes', 'Cleto_Montes@gmail.com'),</v>
      </c>
    </row>
    <row r="52">
      <c r="A52" s="1">
        <v>2.0</v>
      </c>
      <c r="B52" s="1" t="s">
        <v>77</v>
      </c>
      <c r="C52" s="1">
        <v>50.0</v>
      </c>
      <c r="D52" s="1" t="s">
        <v>127</v>
      </c>
      <c r="E52" s="1" t="s">
        <v>128</v>
      </c>
      <c r="F52" s="1" t="s">
        <v>58</v>
      </c>
      <c r="G52" s="2">
        <v>45334.0</v>
      </c>
      <c r="H52" s="1">
        <v>2.0</v>
      </c>
      <c r="I52" s="1" t="s">
        <v>108</v>
      </c>
      <c r="T52" s="1" t="s">
        <v>27</v>
      </c>
      <c r="U52" s="1" t="str">
        <f t="shared" si="7"/>
        <v>(50,6,'N')</v>
      </c>
      <c r="V52" s="1" t="s">
        <v>27</v>
      </c>
      <c r="W52" s="1" t="str">
        <f t="shared" si="8"/>
        <v>(50,7,'N')</v>
      </c>
      <c r="X52" s="1" t="s">
        <v>26</v>
      </c>
      <c r="Y52" s="1" t="str">
        <f t="shared" si="9"/>
        <v>(50,8,'A')</v>
      </c>
      <c r="Z52" s="1" t="s">
        <v>27</v>
      </c>
      <c r="AA52" s="1" t="str">
        <f t="shared" si="10"/>
        <v>(50,9,'N')</v>
      </c>
      <c r="AB52" s="1" t="s">
        <v>27</v>
      </c>
      <c r="AC52" s="1" t="str">
        <f t="shared" si="11"/>
        <v>(50,10,'N')</v>
      </c>
      <c r="AE52" s="1" t="str">
        <f t="shared" si="6"/>
        <v>('Marino Castilla', 'Marino_Castilla@gmail.com'),</v>
      </c>
    </row>
    <row r="53">
      <c r="A53" s="1">
        <v>2.0</v>
      </c>
      <c r="B53" s="1" t="s">
        <v>77</v>
      </c>
      <c r="C53" s="1">
        <v>51.0</v>
      </c>
      <c r="D53" s="1" t="s">
        <v>129</v>
      </c>
      <c r="E53" s="1" t="s">
        <v>130</v>
      </c>
      <c r="F53" s="1" t="s">
        <v>58</v>
      </c>
      <c r="G53" s="2">
        <v>45334.0</v>
      </c>
      <c r="H53" s="1">
        <v>2.0</v>
      </c>
      <c r="I53" s="1" t="s">
        <v>108</v>
      </c>
      <c r="T53" s="1" t="s">
        <v>26</v>
      </c>
      <c r="U53" s="1" t="str">
        <f t="shared" si="7"/>
        <v>(51,6,'A')</v>
      </c>
      <c r="V53" s="1" t="s">
        <v>26</v>
      </c>
      <c r="W53" s="1" t="str">
        <f t="shared" si="8"/>
        <v>(51,7,'A')</v>
      </c>
      <c r="X53" s="1" t="s">
        <v>27</v>
      </c>
      <c r="Y53" s="1" t="str">
        <f t="shared" si="9"/>
        <v>(51,8,'N')</v>
      </c>
      <c r="Z53" s="1" t="s">
        <v>27</v>
      </c>
      <c r="AA53" s="1" t="str">
        <f t="shared" si="10"/>
        <v>(51,9,'N')</v>
      </c>
      <c r="AB53" s="1" t="s">
        <v>26</v>
      </c>
      <c r="AC53" s="1" t="str">
        <f t="shared" si="11"/>
        <v>(51,10,'A')</v>
      </c>
      <c r="AE53" s="1" t="str">
        <f t="shared" si="6"/>
        <v>('Estefanía Valcárcel', 'Estefanía_Valcárcel@gmail.com'),</v>
      </c>
    </row>
    <row r="54">
      <c r="A54" s="1">
        <v>2.0</v>
      </c>
      <c r="B54" s="1" t="s">
        <v>77</v>
      </c>
      <c r="C54" s="1">
        <v>52.0</v>
      </c>
      <c r="D54" s="1" t="s">
        <v>131</v>
      </c>
      <c r="E54" s="1" t="s">
        <v>132</v>
      </c>
      <c r="F54" s="1" t="s">
        <v>58</v>
      </c>
      <c r="G54" s="2">
        <v>45334.0</v>
      </c>
      <c r="H54" s="1">
        <v>2.0</v>
      </c>
      <c r="I54" s="1" t="s">
        <v>108</v>
      </c>
      <c r="T54" s="1" t="s">
        <v>26</v>
      </c>
      <c r="U54" s="1" t="str">
        <f t="shared" si="7"/>
        <v>(52,6,'A')</v>
      </c>
      <c r="V54" s="1" t="s">
        <v>27</v>
      </c>
      <c r="W54" s="1" t="str">
        <f t="shared" si="8"/>
        <v>(52,7,'N')</v>
      </c>
      <c r="X54" s="1" t="s">
        <v>27</v>
      </c>
      <c r="Y54" s="1" t="str">
        <f t="shared" si="9"/>
        <v>(52,8,'N')</v>
      </c>
      <c r="Z54" s="1" t="s">
        <v>26</v>
      </c>
      <c r="AA54" s="1" t="str">
        <f t="shared" si="10"/>
        <v>(52,9,'A')</v>
      </c>
      <c r="AB54" s="1" t="s">
        <v>26</v>
      </c>
      <c r="AC54" s="1" t="str">
        <f t="shared" si="11"/>
        <v>(52,10,'A')</v>
      </c>
      <c r="AE54" s="1" t="str">
        <f>CONCATENATE("('",D54,"', '",E54,"')")</f>
        <v>('Noemí Vilanova', 'Noemí_Vilanova@gmail.com')</v>
      </c>
    </row>
  </sheetData>
  <autoFilter ref="$B$2:$I$1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133</v>
      </c>
      <c r="C1" s="1" t="s">
        <v>2</v>
      </c>
      <c r="D1" s="1" t="s">
        <v>134</v>
      </c>
      <c r="E1" s="1" t="s">
        <v>9</v>
      </c>
      <c r="F1" s="1" t="s">
        <v>135</v>
      </c>
    </row>
    <row r="2">
      <c r="A2" s="1" t="s">
        <v>136</v>
      </c>
      <c r="B2" s="1" t="s">
        <v>137</v>
      </c>
      <c r="C2" s="1" t="s">
        <v>21</v>
      </c>
      <c r="D2" s="1" t="s">
        <v>24</v>
      </c>
      <c r="E2" s="1" t="s">
        <v>25</v>
      </c>
      <c r="F2" s="1" t="s">
        <v>138</v>
      </c>
    </row>
    <row r="3">
      <c r="A3" s="1" t="s">
        <v>139</v>
      </c>
      <c r="B3" s="1" t="s">
        <v>137</v>
      </c>
      <c r="C3" s="1" t="s">
        <v>21</v>
      </c>
      <c r="D3" s="1" t="s">
        <v>24</v>
      </c>
      <c r="E3" s="1" t="s">
        <v>25</v>
      </c>
      <c r="F3" s="1" t="s">
        <v>138</v>
      </c>
    </row>
    <row r="4">
      <c r="A4" s="1" t="s">
        <v>140</v>
      </c>
      <c r="B4" s="1" t="s">
        <v>137</v>
      </c>
      <c r="C4" s="1" t="s">
        <v>77</v>
      </c>
      <c r="D4" s="1" t="s">
        <v>24</v>
      </c>
      <c r="E4" s="1" t="s">
        <v>25</v>
      </c>
      <c r="F4" s="1" t="s">
        <v>138</v>
      </c>
    </row>
    <row r="5">
      <c r="A5" s="1" t="s">
        <v>141</v>
      </c>
      <c r="B5" s="1" t="s">
        <v>137</v>
      </c>
      <c r="C5" s="1" t="s">
        <v>77</v>
      </c>
      <c r="D5" s="1" t="s">
        <v>24</v>
      </c>
      <c r="E5" s="1" t="s">
        <v>108</v>
      </c>
      <c r="F5" s="1" t="s">
        <v>138</v>
      </c>
    </row>
    <row r="6">
      <c r="A6" s="1" t="s">
        <v>142</v>
      </c>
      <c r="B6" s="1" t="s">
        <v>137</v>
      </c>
      <c r="C6" s="1" t="s">
        <v>77</v>
      </c>
      <c r="D6" s="1" t="s">
        <v>58</v>
      </c>
      <c r="E6" s="1" t="s">
        <v>108</v>
      </c>
      <c r="F6" s="1" t="s">
        <v>138</v>
      </c>
    </row>
    <row r="7">
      <c r="A7" s="1" t="s">
        <v>143</v>
      </c>
      <c r="B7" s="1" t="s">
        <v>137</v>
      </c>
      <c r="C7" s="1" t="s">
        <v>77</v>
      </c>
      <c r="D7" s="1" t="s">
        <v>58</v>
      </c>
      <c r="E7" s="1" t="s">
        <v>25</v>
      </c>
      <c r="F7" s="1" t="s">
        <v>138</v>
      </c>
    </row>
    <row r="8">
      <c r="A8" s="1" t="s">
        <v>144</v>
      </c>
      <c r="B8" s="1" t="s">
        <v>137</v>
      </c>
      <c r="C8" s="1" t="s">
        <v>21</v>
      </c>
      <c r="D8" s="1" t="s">
        <v>24</v>
      </c>
      <c r="E8" s="1" t="s">
        <v>25</v>
      </c>
      <c r="F8" s="1" t="s">
        <v>138</v>
      </c>
    </row>
    <row r="9">
      <c r="A9" s="1" t="s">
        <v>145</v>
      </c>
      <c r="B9" s="1" t="s">
        <v>146</v>
      </c>
      <c r="C9" s="1" t="s">
        <v>77</v>
      </c>
      <c r="D9" s="1" t="s">
        <v>58</v>
      </c>
      <c r="E9" s="1" t="s">
        <v>108</v>
      </c>
      <c r="F9" s="1" t="s">
        <v>147</v>
      </c>
    </row>
    <row r="10">
      <c r="A10" s="1" t="s">
        <v>148</v>
      </c>
      <c r="B10" s="1" t="s">
        <v>146</v>
      </c>
      <c r="C10" s="1" t="s">
        <v>77</v>
      </c>
      <c r="D10" s="1" t="s">
        <v>24</v>
      </c>
      <c r="E10" s="1" t="s">
        <v>25</v>
      </c>
      <c r="F10" s="1" t="s">
        <v>147</v>
      </c>
    </row>
    <row r="11">
      <c r="A11" s="1" t="s">
        <v>149</v>
      </c>
      <c r="B11" s="1" t="s">
        <v>146</v>
      </c>
      <c r="C11" s="1" t="s">
        <v>21</v>
      </c>
      <c r="D11" s="1" t="s">
        <v>24</v>
      </c>
      <c r="E11" s="1" t="s">
        <v>25</v>
      </c>
      <c r="F11" s="1" t="s">
        <v>147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9.5"/>
  </cols>
  <sheetData>
    <row r="1">
      <c r="A1" s="1" t="s">
        <v>4</v>
      </c>
      <c r="B1" s="1" t="s">
        <v>133</v>
      </c>
      <c r="C1" s="1" t="s">
        <v>2</v>
      </c>
      <c r="D1" s="1" t="s">
        <v>134</v>
      </c>
      <c r="E1" s="1" t="s">
        <v>9</v>
      </c>
      <c r="F1" s="1" t="s">
        <v>135</v>
      </c>
      <c r="G1" s="1" t="s">
        <v>150</v>
      </c>
    </row>
    <row r="2">
      <c r="A2" s="1" t="s">
        <v>136</v>
      </c>
      <c r="B2" s="1" t="s">
        <v>137</v>
      </c>
      <c r="C2" s="1" t="s">
        <v>21</v>
      </c>
      <c r="D2" s="1" t="s">
        <v>24</v>
      </c>
      <c r="E2" s="1" t="s">
        <v>25</v>
      </c>
      <c r="F2" s="1" t="s">
        <v>138</v>
      </c>
      <c r="G2" s="1" t="str">
        <f t="shared" ref="G2:G10" si="1">CONCATENATE("('",A2,"', '",B2,"'),")</f>
        <v>('Noa Yáñez', 'TA'),</v>
      </c>
    </row>
    <row r="3">
      <c r="A3" s="1" t="s">
        <v>139</v>
      </c>
      <c r="B3" s="1" t="s">
        <v>137</v>
      </c>
      <c r="C3" s="1" t="s">
        <v>21</v>
      </c>
      <c r="D3" s="1" t="s">
        <v>24</v>
      </c>
      <c r="E3" s="1" t="s">
        <v>25</v>
      </c>
      <c r="F3" s="1" t="s">
        <v>138</v>
      </c>
      <c r="G3" s="1" t="str">
        <f t="shared" si="1"/>
        <v>('Saturnina Benitez', 'TA'),</v>
      </c>
    </row>
    <row r="4">
      <c r="A4" s="1" t="s">
        <v>140</v>
      </c>
      <c r="B4" s="1" t="s">
        <v>137</v>
      </c>
      <c r="C4" s="1" t="s">
        <v>77</v>
      </c>
      <c r="D4" s="1" t="s">
        <v>24</v>
      </c>
      <c r="E4" s="1" t="s">
        <v>25</v>
      </c>
      <c r="F4" s="1" t="s">
        <v>138</v>
      </c>
      <c r="G4" s="1" t="str">
        <f t="shared" si="1"/>
        <v>('Anna Feliu', 'TA'),</v>
      </c>
    </row>
    <row r="5">
      <c r="A5" s="1" t="s">
        <v>141</v>
      </c>
      <c r="B5" s="1" t="s">
        <v>137</v>
      </c>
      <c r="C5" s="1" t="s">
        <v>77</v>
      </c>
      <c r="D5" s="1" t="s">
        <v>24</v>
      </c>
      <c r="E5" s="1" t="s">
        <v>108</v>
      </c>
      <c r="F5" s="1" t="s">
        <v>138</v>
      </c>
      <c r="G5" s="1" t="str">
        <f t="shared" si="1"/>
        <v>('Rosalva Ayuso', 'TA'),</v>
      </c>
    </row>
    <row r="6">
      <c r="A6" s="1" t="s">
        <v>142</v>
      </c>
      <c r="B6" s="1" t="s">
        <v>137</v>
      </c>
      <c r="C6" s="1" t="s">
        <v>77</v>
      </c>
      <c r="D6" s="1" t="s">
        <v>58</v>
      </c>
      <c r="E6" s="1" t="s">
        <v>108</v>
      </c>
      <c r="F6" s="1" t="s">
        <v>138</v>
      </c>
      <c r="G6" s="1" t="str">
        <f t="shared" si="1"/>
        <v>('Ana Sofía Ferrer', 'TA'),</v>
      </c>
    </row>
    <row r="7">
      <c r="A7" s="1" t="s">
        <v>143</v>
      </c>
      <c r="B7" s="1" t="s">
        <v>137</v>
      </c>
      <c r="C7" s="1" t="s">
        <v>77</v>
      </c>
      <c r="D7" s="1" t="s">
        <v>58</v>
      </c>
      <c r="E7" s="1" t="s">
        <v>25</v>
      </c>
      <c r="F7" s="1" t="s">
        <v>138</v>
      </c>
      <c r="G7" s="1" t="str">
        <f t="shared" si="1"/>
        <v>('Angélica Corral', 'TA'),</v>
      </c>
    </row>
    <row r="8">
      <c r="A8" s="1" t="s">
        <v>144</v>
      </c>
      <c r="B8" s="1" t="s">
        <v>137</v>
      </c>
      <c r="C8" s="1" t="s">
        <v>21</v>
      </c>
      <c r="D8" s="1" t="s">
        <v>24</v>
      </c>
      <c r="E8" s="1" t="s">
        <v>25</v>
      </c>
      <c r="F8" s="1" t="s">
        <v>138</v>
      </c>
      <c r="G8" s="1" t="str">
        <f t="shared" si="1"/>
        <v>('Ariel Lledó', 'TA'),</v>
      </c>
    </row>
    <row r="9">
      <c r="A9" s="1" t="s">
        <v>145</v>
      </c>
      <c r="B9" s="1" t="s">
        <v>146</v>
      </c>
      <c r="C9" s="1" t="s">
        <v>77</v>
      </c>
      <c r="D9" s="1" t="s">
        <v>58</v>
      </c>
      <c r="E9" s="1" t="s">
        <v>108</v>
      </c>
      <c r="F9" s="1" t="s">
        <v>147</v>
      </c>
      <c r="G9" s="1" t="str">
        <f t="shared" si="1"/>
        <v>('Mario Prats', 'LI'),</v>
      </c>
    </row>
    <row r="10">
      <c r="A10" s="1" t="s">
        <v>148</v>
      </c>
      <c r="B10" s="1" t="s">
        <v>146</v>
      </c>
      <c r="C10" s="1" t="s">
        <v>77</v>
      </c>
      <c r="D10" s="1" t="s">
        <v>24</v>
      </c>
      <c r="E10" s="1" t="s">
        <v>25</v>
      </c>
      <c r="F10" s="1" t="s">
        <v>147</v>
      </c>
      <c r="G10" s="1" t="str">
        <f t="shared" si="1"/>
        <v>('Luis Ángel Suárez', 'LI'),</v>
      </c>
    </row>
    <row r="11">
      <c r="A11" s="1" t="s">
        <v>149</v>
      </c>
      <c r="B11" s="1" t="s">
        <v>146</v>
      </c>
      <c r="C11" s="1" t="s">
        <v>21</v>
      </c>
      <c r="D11" s="1" t="s">
        <v>24</v>
      </c>
      <c r="E11" s="1" t="s">
        <v>25</v>
      </c>
      <c r="F11" s="1" t="s">
        <v>147</v>
      </c>
      <c r="G11" s="1" t="str">
        <f>CONCATENATE("('",A11,"', '",B11,"')")</f>
        <v>('María Dolores Diaz', 'LI')</v>
      </c>
    </row>
  </sheetData>
  <drawing r:id="rId1"/>
</worksheet>
</file>